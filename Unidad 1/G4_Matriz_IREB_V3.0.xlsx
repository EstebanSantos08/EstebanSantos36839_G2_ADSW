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8_{16C5A762-0305-4405-9CEC-C5AFEFC9B7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riz Ckeck LIst" sheetId="1" r:id="rId1"/>
    <sheet name="MODELO LISTA DE COMPROBACION 1 " sheetId="2" r:id="rId2"/>
    <sheet name="MODELO LISTA DE COMPROBACION 2" sheetId="3" r:id="rId3"/>
    <sheet name="MODELO LISTA DE COMPROBACION 3" sheetId="4" r:id="rId4"/>
    <sheet name="RECOMENDACIONES - RF-PAC-01" sheetId="5" r:id="rId5"/>
    <sheet name="RECOMENDACIONES - RF-PAC-04" sheetId="6" r:id="rId6"/>
    <sheet name="RECOMENDACIONES - RF-PAC-05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4" l="1"/>
  <c r="D35" i="4"/>
  <c r="D36" i="4" s="1"/>
  <c r="C35" i="4"/>
  <c r="C36" i="4" s="1"/>
  <c r="D27" i="4"/>
  <c r="D28" i="4" s="1"/>
  <c r="C27" i="4"/>
  <c r="C28" i="4" s="1"/>
  <c r="C42" i="4" s="1"/>
  <c r="D17" i="4"/>
  <c r="D18" i="4" s="1"/>
  <c r="C17" i="4"/>
  <c r="C18" i="4" s="1"/>
  <c r="C41" i="4" s="1"/>
  <c r="D35" i="3"/>
  <c r="D36" i="3" s="1"/>
  <c r="C35" i="3"/>
  <c r="C36" i="3" s="1"/>
  <c r="C43" i="3" s="1"/>
  <c r="D27" i="3"/>
  <c r="D28" i="3" s="1"/>
  <c r="C27" i="3"/>
  <c r="C28" i="3" s="1"/>
  <c r="C42" i="3" s="1"/>
  <c r="D17" i="3"/>
  <c r="D18" i="3" s="1"/>
  <c r="C17" i="3"/>
  <c r="C18" i="3" s="1"/>
  <c r="C41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F7" authorId="0" shapeId="0" xr:uid="{00000000-0006-0000-0000-000002000000}">
      <text>
        <r>
          <rPr>
            <sz val="11"/>
            <color theme="1"/>
            <rFont val="Calibri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3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I7" authorId="0" shapeId="0" xr:uid="{00000000-0006-0000-0000-000004000000}">
      <text>
        <r>
          <rPr>
            <sz val="11"/>
            <color theme="1"/>
            <rFont val="Calibri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07000000}">
      <text>
        <r>
          <rPr>
            <sz val="11"/>
            <color theme="1"/>
            <rFont val="Calibri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08000000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I9" authorId="0" shapeId="0" xr:uid="{EDD4E1BA-370F-4C04-A32A-B2EA5403F655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K9" authorId="0" shapeId="0" xr:uid="{57DB48FB-56D4-4F43-8C99-42E72E5A3C31}">
      <text>
        <r>
          <rPr>
            <sz val="11"/>
            <color theme="1"/>
            <rFont val="Calibri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0B000000}">
      <text>
        <r>
          <rPr>
            <sz val="11"/>
            <color theme="1"/>
            <rFont val="Calibri"/>
            <scheme val="minor"/>
          </rPr>
          <t>jeny ruiz:
Ponderado por importancia o prioridad</t>
        </r>
      </text>
    </comment>
    <comment ref="C11" authorId="0" shapeId="0" xr:uid="{00000000-0006-0000-0000-00000C000000}">
      <text>
        <r>
          <rPr>
            <sz val="11"/>
            <color theme="1"/>
            <rFont val="Calibri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D000000}">
      <text>
        <r>
          <rPr>
            <sz val="11"/>
            <color theme="1"/>
            <rFont val="Calibri"/>
            <scheme val="minor"/>
          </rPr>
          <t>jeny ruiz:
Toda nueva información  ha sido incorporada</t>
        </r>
      </text>
    </comment>
    <comment ref="C13" authorId="0" shapeId="0" xr:uid="{00000000-0006-0000-0000-00000E000000}">
      <text>
        <r>
          <rPr>
            <sz val="11"/>
            <color theme="1"/>
            <rFont val="Calibri"/>
            <scheme val="minor"/>
          </rPr>
          <t xml:space="preserve">jeny ruiz:
Refleja las espectativas  del implicado
</t>
        </r>
      </text>
    </comment>
    <comment ref="C14" authorId="0" shapeId="0" xr:uid="{00000000-0006-0000-0000-00000F000000}">
      <text>
        <r>
          <rPr>
            <sz val="11"/>
            <color theme="1"/>
            <rFont val="Calibri"/>
            <scheme val="minor"/>
          </rPr>
          <t xml:space="preserve">jeny ruiz:
Sin contradicciones
</t>
        </r>
      </text>
    </comment>
    <comment ref="C15" authorId="0" shapeId="0" xr:uid="{00000000-0006-0000-0000-000010000000}">
      <text>
        <r>
          <rPr>
            <sz val="11"/>
            <color theme="1"/>
            <rFont val="Calibri"/>
            <scheme val="minor"/>
          </rPr>
          <t>jeny ruiz:
Su cumplimiento o no cumplimiento puede der probado con un esfuerzo razonable</t>
        </r>
      </text>
    </comment>
    <comment ref="C16" authorId="0" shapeId="0" xr:uid="{00000000-0006-0000-0000-000011000000}">
      <text>
        <r>
          <rPr>
            <sz val="11"/>
            <color theme="1"/>
            <rFont val="Calibri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12000000}">
      <text>
        <r>
          <rPr>
            <sz val="11"/>
            <color theme="1"/>
            <rFont val="Calibri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13000000}">
      <text>
        <r>
          <rPr>
            <sz val="11"/>
            <color theme="1"/>
            <rFont val="Calibri"/>
            <scheme val="minor"/>
          </rPr>
          <t>jeny ruiz:
Trata todos los asuntos relevantes</t>
        </r>
      </text>
    </comment>
    <comment ref="C19" authorId="0" shapeId="0" xr:uid="{00000000-0006-0000-0000-000014000000}">
      <text>
        <r>
          <rPr>
            <sz val="11"/>
            <color theme="1"/>
            <rFont val="Calibri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1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1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1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1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1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2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2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2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1000000}">
      <text>
        <r>
          <rPr>
            <sz val="11"/>
            <color theme="1"/>
            <rFont val="Calibri"/>
            <scheme val="minor"/>
          </rPr>
          <t>ESPE:
COMPLETITUD DOCUMENTO</t>
        </r>
      </text>
    </comment>
    <comment ref="B9" authorId="0" shapeId="0" xr:uid="{00000000-0006-0000-0300-000002000000}">
      <text>
        <r>
          <rPr>
            <sz val="11"/>
            <color theme="1"/>
            <rFont val="Calibri"/>
            <scheme val="minor"/>
          </rPr>
          <t xml:space="preserve">ESPE:
COMPLETITUD REQUISITO INDIVIDUAL
</t>
        </r>
      </text>
    </comment>
    <comment ref="B10" authorId="0" shapeId="0" xr:uid="{00000000-0006-0000-0300-000003000000}">
      <text>
        <r>
          <rPr>
            <sz val="11"/>
            <color theme="1"/>
            <rFont val="Calibri"/>
            <scheme val="minor"/>
          </rPr>
          <t>ESPE:
TRAZABILIDAD</t>
        </r>
      </text>
    </comment>
    <comment ref="B11" authorId="0" shapeId="0" xr:uid="{00000000-0006-0000-0300-000004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scheme val="minor"/>
          </rPr>
          <t xml:space="preserve">ESPE:
TRAZABILIDAD
</t>
        </r>
      </text>
    </comment>
    <comment ref="B13" authorId="0" shapeId="0" xr:uid="{00000000-0006-0000-0300-000006000000}">
      <text>
        <r>
          <rPr>
            <sz val="11"/>
            <color theme="1"/>
            <rFont val="Calibri"/>
            <scheme val="minor"/>
          </rPr>
          <t xml:space="preserve">ESPE:
CORRECCION
</t>
        </r>
      </text>
    </comment>
    <comment ref="B14" authorId="0" shapeId="0" xr:uid="{00000000-0006-0000-0300-000007000000}">
      <text>
        <r>
          <rPr>
            <sz val="11"/>
            <color theme="1"/>
            <rFont val="Calibri"/>
            <scheme val="minor"/>
          </rPr>
          <t>ESPE:
CONSISTENCIA</t>
        </r>
      </text>
    </comment>
    <comment ref="B15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ESPE:
NECESIDAD
</t>
        </r>
      </text>
    </comment>
    <comment ref="B16" authorId="0" shapeId="0" xr:uid="{00000000-0006-0000-0300-000009000000}">
      <text>
        <r>
          <rPr>
            <sz val="11"/>
            <color theme="1"/>
            <rFont val="Calibri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<sst xmlns="http://schemas.openxmlformats.org/spreadsheetml/2006/main" count="313" uniqueCount="116">
  <si>
    <t>MATRIZ PARA COMPROBACIÓN REQUERIMIENTOS DE CALIDAD DE PROYECTO ACADEMICO</t>
  </si>
  <si>
    <t>SISTEMA:</t>
  </si>
  <si>
    <t xml:space="preserve">Sistema de agendamiento de sistema medico AgendaMed Renacer </t>
  </si>
  <si>
    <t>Requerimientos  Funcionales</t>
  </si>
  <si>
    <t>Nº</t>
  </si>
  <si>
    <t>CRITERIOS DE CALIDAD (Documento/Requerimientos)</t>
  </si>
  <si>
    <t>Status
Nivel de Acuerdo</t>
  </si>
  <si>
    <t xml:space="preserve">
2.2.3.1 RF-PAC-01  Registrar Paciente</t>
  </si>
  <si>
    <t>2.2.3.4 RF-PAC-04  Buscar Paciente</t>
  </si>
  <si>
    <t>2.2.3.5 RF-PAC-05  Consultar Historial de Citas</t>
  </si>
  <si>
    <t>Agreed</t>
  </si>
  <si>
    <t>OK</t>
  </si>
  <si>
    <t>1. Videoconferencia de la entrevista
2. Minuta de la entrevista
3. Aceptación por videoconferencia</t>
  </si>
  <si>
    <t>1. El equipo se reunió y acordó el requisito. 
2. Quedó registrado en actas
3. Videoconferencia de la entrevista</t>
  </si>
  <si>
    <t>1. Videoconferencia de la entrevista
2. El equipo se reunió y acordó el requisito. 
3. Quedó registrado en actas</t>
  </si>
  <si>
    <t>Ranked</t>
  </si>
  <si>
    <t>1. En la descripción del caso de Uso se especifica la prioridad Alta</t>
  </si>
  <si>
    <t>1. En la descripción del caso de uso se especifica la prioridad Imprescindible</t>
  </si>
  <si>
    <t>1. En la descripción del caso de uso se especifica la prioridad que debería tener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</si>
  <si>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</si>
  <si>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</si>
  <si>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NOK</t>
  </si>
  <si>
    <t xml:space="preserve">1. Redacción en lenguaje claro. 
2. No aclara si buscar por correo o celular es exacto o parcial
</t>
  </si>
  <si>
    <t>1. Redacción en lenguaje claro. 
2. 'Próximas, pasadas y canceladas' se confunden entre sí</t>
  </si>
  <si>
    <t>Valid and up-to date</t>
  </si>
  <si>
    <t>1. Toda nueva información ha sido incorporada, se han incorporado los últimos cambios pedidos luego del feedback realizado por el cliente</t>
  </si>
  <si>
    <t>1. El documento está actualizado a la última versión. 
2. Incluye los cambios que se pidieron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</si>
  <si>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</si>
  <si>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</si>
  <si>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1. Ayuda a Recepción a encontrar rápido al paciente. 
2. El Médico solo ve a sus pacientes</t>
  </si>
  <si>
    <t>1. El paciente puede ver y manejar sus citas en 'Mis Citas'. 
2. Es solo historial de citas, sin historia clínica</t>
  </si>
  <si>
    <t>Consisten</t>
  </si>
  <si>
    <t xml:space="preserve">1. Documentación basada en modelos: Diagrama de Casos de Uso
2. Usa términos definidos previamente.                                             </t>
  </si>
  <si>
    <t>1. Se basa en el diagrama de casos de uso. 
2. RF-CIT-04 no usa esta búsqueda aunque debería</t>
  </si>
  <si>
    <t>1. Un criterio dice 'menos de 4 horas'. 
2. Otro requisito dice '4 horas o menos'</t>
  </si>
  <si>
    <t>Verifiable</t>
  </si>
  <si>
    <t>1. Requisito Medible                                                           2.  Falta Casos de Prueba</t>
  </si>
  <si>
    <t>1. Se puede medir: 3 segundos y 100 resultados por página. 
2. Faltan criterios para correo y celular, y casos de prueba</t>
  </si>
  <si>
    <t>1. Se puede medir con los criterios de aceptación. 
2. Faltan casos de prueba y el tiempo de respuesta</t>
  </si>
  <si>
    <t>Realizable</t>
  </si>
  <si>
    <t>1. Funcionalidad tomada en cuenta dentro de la estimación del costo del proyecto (900$)
2. No se ha desarrollado</t>
  </si>
  <si>
    <t>1. No se indica costo ni plazo del requisito. 2. No se ha desarrollado</t>
  </si>
  <si>
    <t>1. No se indica costo ni plazo del requisito. 
2.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</si>
  <si>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</si>
  <si>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</si>
  <si>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Se entiende de dónde viene el requisito. 
2. Se relaciona con el agendamiento de citas y los pagos. 
3. Tiene un ID único</t>
  </si>
  <si>
    <t>1. Se entiende de dónde viene el requisito. 
2. Se relaciona con cancelar, reprogramar y pagos. 
3. Tiene un ID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</si>
  <si>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</si>
  <si>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</si>
  <si>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Incluye cómo buscar, qué resultados se muestran y qué ve cada rol</t>
  </si>
  <si>
    <t>1. Falta definir cuánto debe tardar en responder</t>
  </si>
  <si>
    <t>Understandability</t>
  </si>
  <si>
    <t>1. Se involucra al cliente
2. Existe glosario de términos</t>
  </si>
  <si>
    <t>1. Hay términos que no están en el glosario, como 'minimización de datos'</t>
  </si>
  <si>
    <t>1. Términos como 'Mis Citas' y los estados de la cita están explicados</t>
  </si>
  <si>
    <t>Sistema de agendamiento de sistema medico AgendaMed Renacer v3.2</t>
  </si>
  <si>
    <t>FECHA:</t>
  </si>
  <si>
    <t>AUTOR:</t>
  </si>
  <si>
    <t>Criollo Sebastian</t>
  </si>
  <si>
    <t>REQUERIMIENTOS EVALUADOS :</t>
  </si>
  <si>
    <t>RF-010 Registro de
Paciente Nuevo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</si>
  <si>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</si>
  <si>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</si>
  <si>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</si>
  <si>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</si>
  <si>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</si>
  <si>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</si>
  <si>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</si>
  <si>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</si>
  <si>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</si>
  <si>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</si>
  <si>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</si>
  <si>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</si>
  <si>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</si>
  <si>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</si>
  <si>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</si>
  <si>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</si>
  <si>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</si>
  <si>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</si>
  <si>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</si>
  <si>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</si>
  <si>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</si>
  <si>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</si>
  <si>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</si>
  <si>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</si>
  <si>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</si>
  <si>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</si>
  <si>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</si>
  <si>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</si>
  <si>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</si>
  <si>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Esteban Santos</t>
  </si>
  <si>
    <t>Buscar Paciente</t>
  </si>
  <si>
    <t>Maycol Celi</t>
  </si>
  <si>
    <t>Consultar Historial de Citas</t>
  </si>
  <si>
    <t>PREGUNTA</t>
  </si>
  <si>
    <t>RECOMENDACIÓN</t>
  </si>
  <si>
    <t>¿Se ha validado y aprobado el requisito RF-PAC-01 por los interesados correspondientes?</t>
  </si>
  <si>
    <t>Registrar la aprobación del requisito mediante acta, firma digital o evidencia de validación por parte del tutor, cliente y equipo.</t>
  </si>
  <si>
    <t>¿Se han definido criterios de aceptación que permitan verificar objetivamente el cumplimiento del requisito?</t>
  </si>
  <si>
    <t>Mantener o ampliar los criterios de aceptación CA-01 a CA-06 y asociarlos con casos de prueba.</t>
  </si>
  <si>
    <t>¿Se aclaró si buscar por correo o celular es exacto o parcial?</t>
  </si>
  <si>
    <t>Definir si la búsqueda es exacta o parcial y poner un criterio de aceptación para eso.</t>
  </si>
  <si>
    <t>¿Se definió qué citas dejan al Médico ver a un paciente?</t>
  </si>
  <si>
    <t>Aclarar si las citas canceladas o ausentes también cuentan.</t>
  </si>
  <si>
    <t>¿RF-CIT-04 usa la búsqueda de paciente antes de agendar?</t>
  </si>
  <si>
    <t>Agregar la búsqueda de RF-PAC-04 en RF-CIT-04.</t>
  </si>
  <si>
    <t>¿Los criterios cubren los 3 segundos y los 100 resultados?</t>
  </si>
  <si>
    <t>Agregar criterios para medir el tiempo y la paginación en todas las búsquedas.</t>
  </si>
  <si>
    <t>¿Qué pasa si faltan exactamente 4 horas para la cita?</t>
  </si>
  <si>
    <t>Poner el mismo límite en todos los requisitos (más de 4 horas).</t>
  </si>
  <si>
    <t>¿Está claro qué es cita próxima, pasada y cancelada?</t>
  </si>
  <si>
    <t>Definir qué estados entran en cada grupo.</t>
  </si>
  <si>
    <t>¿Se definió cuánto debe tardar el historial en cargar?</t>
  </si>
  <si>
    <t>Agregar un criterio de aceptación con el tiempo máximo (3 segundos).</t>
  </si>
  <si>
    <t>¿Hay criterios para los filtros y la descarga de recibos?</t>
  </si>
  <si>
    <t>Agregar criterios de aceptación para los filtros y los recibos.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</si>
</sst>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scheme val="minor"/>
    </font>
    <font>
      <sz val="8"/>
      <color theme="1"/>
      <name val="Arial"/>
    </font>
    <font>
      <b/>
      <sz val="18"/>
      <color rgb="FF1F497D"/>
      <name val="Calibri"/>
    </font>
    <font>
      <b/>
      <sz val="18"/>
      <color theme="1"/>
      <name val="Calibri"/>
    </font>
    <font>
      <b/>
      <sz val="18"/>
      <color theme="1"/>
      <name val="Arial"/>
    </font>
    <font>
      <sz val="11"/>
      <name val="Calibri"/>
    </font>
    <font>
      <b/>
      <sz val="12"/>
      <color theme="1"/>
      <name val="Arial"/>
    </font>
    <font>
      <b/>
      <sz val="11"/>
      <color theme="1"/>
      <name val="Arial"/>
    </font>
    <font>
      <sz val="11"/>
      <color theme="1"/>
      <name val="Calibri"/>
    </font>
    <font>
      <b/>
      <sz val="16"/>
      <color theme="0"/>
      <name val="Calibri"/>
    </font>
    <font>
      <b/>
      <sz val="16"/>
      <color theme="1"/>
      <name val="Calibri"/>
    </font>
    <font>
      <b/>
      <sz val="12"/>
      <color rgb="FFFFFFFF"/>
      <name val="Calibri"/>
    </font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b/>
      <sz val="18"/>
      <color rgb="FFFA7D00"/>
      <name val="Calibri"/>
    </font>
    <font>
      <b/>
      <sz val="11"/>
      <color theme="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5" xfId="0" applyFont="1" applyBorder="1"/>
    <xf numFmtId="0" fontId="9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left" vertical="center" wrapText="1"/>
    </xf>
    <xf numFmtId="0" fontId="12" fillId="0" borderId="0" xfId="0" applyFont="1"/>
    <xf numFmtId="0" fontId="11" fillId="3" borderId="5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4" fillId="6" borderId="7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9" fontId="8" fillId="0" borderId="0" xfId="0" applyNumberFormat="1" applyFont="1"/>
    <xf numFmtId="0" fontId="8" fillId="0" borderId="3" xfId="0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 vertical="top" wrapText="1"/>
    </xf>
    <xf numFmtId="15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8" xfId="0" applyFont="1" applyBorder="1" applyAlignment="1"/>
    <xf numFmtId="0" fontId="5" fillId="0" borderId="4" xfId="0" applyFont="1" applyBorder="1" applyAlignment="1"/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7" xfId="0" applyFont="1" applyBorder="1" applyAlignment="1"/>
    <xf numFmtId="0" fontId="5" fillId="0" borderId="11" xfId="0" applyFont="1" applyBorder="1" applyAlignment="1"/>
  </cellXfs>
  <cellStyles count="1">
    <cellStyle name="Normal" xfId="0" builtinId="0"/>
  </cellStyles>
  <dxfs count="8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</dxfs>
  <tableStyles count="9">
    <tableStyle name="MODELO LISTA DE COMPROBACION - -style" pivot="0" count="3" xr9:uid="{00000000-0011-0000-FFFF-FFFF00000000}">
      <tableStyleElement type="headerRow" dxfId="79"/>
      <tableStyleElement type="firstRowStripe" dxfId="78"/>
      <tableStyleElement type="secondRowStripe" dxfId="77"/>
    </tableStyle>
    <tableStyle name="MODELO LISTA DE COMPROBACION - -style 2" pivot="0" count="3" xr9:uid="{00000000-0011-0000-FFFF-FFFF01000000}">
      <tableStyleElement type="headerRow" dxfId="76"/>
      <tableStyleElement type="firstRowStripe" dxfId="75"/>
      <tableStyleElement type="secondRowStripe" dxfId="74"/>
    </tableStyle>
    <tableStyle name="MODELO LISTA DE COMPROBACION - -style 3" pivot="0" count="3" xr9:uid="{00000000-0011-0000-FFFF-FFFF02000000}">
      <tableStyleElement type="headerRow" dxfId="73"/>
      <tableStyleElement type="firstRowStripe" dxfId="72"/>
      <tableStyleElement type="secondRowStripe" dxfId="71"/>
    </tableStyle>
    <tableStyle name="Hoja 1-style" pivot="0" count="3" xr9:uid="{00000000-0011-0000-FFFF-FFFF03000000}">
      <tableStyleElement type="headerRow" dxfId="70"/>
      <tableStyleElement type="firstRowStripe" dxfId="69"/>
      <tableStyleElement type="secondRowStripe" dxfId="68"/>
    </tableStyle>
    <tableStyle name="Hoja 1-style 2" pivot="0" count="3" xr9:uid="{00000000-0011-0000-FFFF-FFFF04000000}">
      <tableStyleElement type="headerRow" dxfId="67"/>
      <tableStyleElement type="firstRowStripe" dxfId="66"/>
      <tableStyleElement type="secondRowStripe" dxfId="65"/>
    </tableStyle>
    <tableStyle name="Hoja 1-style 3" pivot="0" count="3" xr9:uid="{00000000-0011-0000-FFFF-FFFF05000000}">
      <tableStyleElement type="headerRow" dxfId="64"/>
      <tableStyleElement type="firstRowStripe" dxfId="63"/>
      <tableStyleElement type="secondRowStripe" dxfId="62"/>
    </tableStyle>
    <tableStyle name="MODELO DE LISTA DE COMPROBACION-style" pivot="0" count="3" xr9:uid="{00000000-0011-0000-FFFF-FFFF06000000}">
      <tableStyleElement type="headerRow" dxfId="61"/>
      <tableStyleElement type="firstRowStripe" dxfId="60"/>
      <tableStyleElement type="secondRowStripe" dxfId="59"/>
    </tableStyle>
    <tableStyle name="MODELO DE LISTA DE COMPROBACION-style 2" pivot="0" count="3" xr9:uid="{00000000-0011-0000-FFFF-FFFF07000000}">
      <tableStyleElement type="headerRow" dxfId="58"/>
      <tableStyleElement type="firstRowStripe" dxfId="57"/>
      <tableStyleElement type="secondRowStripe" dxfId="56"/>
    </tableStyle>
    <tableStyle name="MODELO DE LISTA DE COMPROBACION-style 3" pivot="0" count="3" xr9:uid="{00000000-0011-0000-FFFF-FFFF08000000}">
      <tableStyleElement type="headerRow" dxfId="55"/>
      <tableStyleElement type="firstRowStripe" dxfId="54"/>
      <tableStyleElement type="secondRowStrip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3E4-40A5-B7DF-DB35FD08E67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3E4-40A5-B7DF-DB35FD08E67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3E4-40A5-B7DF-DB35FD08E67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1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1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E4-40A5-B7DF-DB35FD08E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2FD-43E6-A020-EF564A423AF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2FD-43E6-A020-EF564A423AF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2FD-43E6-A020-EF564A423AF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2'!$B$41:$B$43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2'!$C$41:$C$43</c:f>
              <c:numCache>
                <c:formatCode>General</c:formatCode>
                <c:ptCount val="3"/>
                <c:pt idx="0">
                  <c:v>78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FD-43E6-A020-EF564A423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F10F-4CB7-9265-09C148FB7E1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F10F-4CB7-9265-09C148FB7E1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F10F-4CB7-9265-09C148FB7E1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3'!$B$41:$B$43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3'!$C$41:$C$43</c:f>
              <c:numCache>
                <c:formatCode>General</c:formatCode>
                <c:ptCount val="3"/>
                <c:pt idx="0">
                  <c:v>78</c:v>
                </c:pt>
                <c:pt idx="1">
                  <c:v>40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10F-4CB7-9265-09C148FB7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628650</xdr:colOff>
      <xdr:row>7</xdr:row>
      <xdr:rowOff>228600</xdr:rowOff>
    </xdr:from>
    <xdr:ext cx="4286250" cy="2143125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Hoja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Hoja 1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Hoja 1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MODELO DE LISTA DE COMPROBACION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MODELO DE LISTA DE COMPROBACION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MODELO DE LISTA DE COMPROBACI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abSelected="1" topLeftCell="D7" workbookViewId="0">
      <selection activeCell="I11" sqref="I11"/>
    </sheetView>
  </sheetViews>
  <sheetFormatPr defaultColWidth="14.42578125" defaultRowHeight="15" customHeight="1"/>
  <cols>
    <col min="1" max="1" width="4.5703125" customWidth="1"/>
    <col min="2" max="2" width="4.42578125" customWidth="1"/>
    <col min="3" max="3" width="3.7109375" customWidth="1"/>
    <col min="4" max="4" width="34.85546875" customWidth="1"/>
    <col min="5" max="5" width="9.7109375" customWidth="1"/>
    <col min="6" max="6" width="42.7109375" customWidth="1"/>
    <col min="7" max="7" width="10.140625" customWidth="1"/>
    <col min="8" max="8" width="4.7109375" hidden="1" customWidth="1"/>
    <col min="9" max="9" width="42.7109375" customWidth="1"/>
    <col min="10" max="10" width="9.85546875" customWidth="1"/>
    <col min="11" max="11" width="39.5703125" customWidth="1"/>
    <col min="12" max="27" width="11.42578125" customWidth="1"/>
  </cols>
  <sheetData>
    <row r="1" spans="2:11" ht="14.25" customHeight="1">
      <c r="C1" s="1"/>
    </row>
    <row r="2" spans="2:11" ht="14.25" customHeight="1">
      <c r="C2" s="1"/>
    </row>
    <row r="3" spans="2:11" ht="30" customHeight="1">
      <c r="C3" s="42" t="s">
        <v>0</v>
      </c>
      <c r="D3" s="54"/>
      <c r="E3" s="54"/>
      <c r="F3" s="54"/>
      <c r="G3" s="54"/>
      <c r="H3" s="54"/>
      <c r="I3" s="54"/>
      <c r="J3" s="54"/>
      <c r="K3" s="54"/>
    </row>
    <row r="4" spans="2:11" ht="30" customHeight="1">
      <c r="C4" s="54"/>
      <c r="D4" s="54"/>
      <c r="E4" s="54"/>
      <c r="F4" s="54"/>
      <c r="G4" s="54"/>
      <c r="H4" s="54"/>
      <c r="I4" s="54"/>
      <c r="J4" s="54"/>
      <c r="K4" s="54"/>
    </row>
    <row r="5" spans="2:11" ht="30" customHeight="1">
      <c r="C5" s="2"/>
      <c r="D5" s="3" t="s">
        <v>1</v>
      </c>
      <c r="E5" s="43" t="s">
        <v>2</v>
      </c>
      <c r="F5" s="54"/>
      <c r="G5" s="54"/>
      <c r="H5" s="54"/>
      <c r="I5" s="54"/>
      <c r="J5" s="54"/>
      <c r="K5" s="54"/>
    </row>
    <row r="6" spans="2:11" ht="55.5" customHeight="1">
      <c r="C6" s="1"/>
      <c r="F6" s="44" t="s">
        <v>3</v>
      </c>
      <c r="G6" s="55"/>
      <c r="H6" s="55"/>
      <c r="I6" s="55"/>
      <c r="J6" s="55"/>
      <c r="K6" s="56"/>
    </row>
    <row r="7" spans="2:11" ht="45" customHeight="1">
      <c r="B7" s="41" t="s">
        <v>4</v>
      </c>
      <c r="C7" s="45" t="s">
        <v>5</v>
      </c>
      <c r="D7" s="57"/>
      <c r="E7" s="40" t="s">
        <v>6</v>
      </c>
      <c r="F7" s="41" t="s">
        <v>7</v>
      </c>
      <c r="G7" s="40" t="s">
        <v>6</v>
      </c>
      <c r="H7" s="4">
        <v>100</v>
      </c>
      <c r="I7" s="41" t="s">
        <v>8</v>
      </c>
      <c r="J7" s="40" t="s">
        <v>6</v>
      </c>
      <c r="K7" s="41" t="s">
        <v>9</v>
      </c>
    </row>
    <row r="8" spans="2:11" ht="60" customHeight="1">
      <c r="B8" s="58"/>
      <c r="C8" s="59"/>
      <c r="D8" s="60"/>
      <c r="E8" s="58"/>
      <c r="F8" s="58"/>
      <c r="G8" s="58"/>
      <c r="H8" s="4">
        <v>0</v>
      </c>
      <c r="I8" s="58"/>
      <c r="J8" s="58"/>
      <c r="K8" s="58"/>
    </row>
    <row r="9" spans="2:11" ht="64.5">
      <c r="B9" s="5">
        <v>1</v>
      </c>
      <c r="C9" s="46" t="s">
        <v>10</v>
      </c>
      <c r="D9" s="56"/>
      <c r="E9" s="6" t="s">
        <v>11</v>
      </c>
      <c r="F9" s="7" t="s">
        <v>12</v>
      </c>
      <c r="G9" s="6" t="s">
        <v>11</v>
      </c>
      <c r="H9" s="8">
        <v>1</v>
      </c>
      <c r="I9" s="7" t="s">
        <v>13</v>
      </c>
      <c r="J9" s="6" t="s">
        <v>11</v>
      </c>
      <c r="K9" s="7" t="s">
        <v>14</v>
      </c>
    </row>
    <row r="10" spans="2:11" ht="33" customHeight="1">
      <c r="B10" s="5">
        <v>2</v>
      </c>
      <c r="C10" s="46" t="s">
        <v>15</v>
      </c>
      <c r="D10" s="56"/>
      <c r="E10" s="6" t="s">
        <v>11</v>
      </c>
      <c r="F10" s="9" t="s">
        <v>16</v>
      </c>
      <c r="G10" s="6" t="s">
        <v>11</v>
      </c>
      <c r="I10" s="9" t="s">
        <v>17</v>
      </c>
      <c r="J10" s="6" t="s">
        <v>11</v>
      </c>
      <c r="K10" s="9" t="s">
        <v>18</v>
      </c>
    </row>
    <row r="11" spans="2:11" ht="65.25" customHeight="1">
      <c r="B11" s="5">
        <v>3</v>
      </c>
      <c r="C11" s="46" t="s">
        <v>19</v>
      </c>
      <c r="D11" s="56"/>
      <c r="E11" s="6" t="s">
        <v>11</v>
      </c>
      <c r="F11" s="9" t="s">
        <v>20</v>
      </c>
      <c r="G11" s="11" t="s">
        <v>21</v>
      </c>
      <c r="I11" s="9" t="s">
        <v>22</v>
      </c>
      <c r="J11" s="11" t="s">
        <v>21</v>
      </c>
      <c r="K11" s="9" t="s">
        <v>23</v>
      </c>
    </row>
    <row r="12" spans="2:11" ht="72" customHeight="1">
      <c r="B12" s="5">
        <v>4</v>
      </c>
      <c r="C12" s="46" t="s">
        <v>24</v>
      </c>
      <c r="D12" s="56"/>
      <c r="E12" s="6" t="s">
        <v>11</v>
      </c>
      <c r="F12" s="10" t="s">
        <v>25</v>
      </c>
      <c r="G12" s="6" t="s">
        <v>11</v>
      </c>
      <c r="I12" s="10" t="s">
        <v>26</v>
      </c>
      <c r="J12" s="6" t="s">
        <v>11</v>
      </c>
      <c r="K12" s="10" t="s">
        <v>26</v>
      </c>
    </row>
    <row r="13" spans="2:11" ht="81.75" customHeight="1">
      <c r="B13" s="5">
        <v>5</v>
      </c>
      <c r="C13" s="46" t="s">
        <v>27</v>
      </c>
      <c r="D13" s="56"/>
      <c r="E13" s="6" t="s">
        <v>11</v>
      </c>
      <c r="F13" s="10" t="s">
        <v>28</v>
      </c>
      <c r="G13" s="6" t="s">
        <v>11</v>
      </c>
      <c r="I13" s="10" t="s">
        <v>29</v>
      </c>
      <c r="J13" s="6" t="s">
        <v>11</v>
      </c>
      <c r="K13" s="10" t="s">
        <v>30</v>
      </c>
    </row>
    <row r="14" spans="2:11" ht="94.5" customHeight="1">
      <c r="B14" s="5">
        <v>6</v>
      </c>
      <c r="C14" s="46" t="s">
        <v>31</v>
      </c>
      <c r="D14" s="56"/>
      <c r="E14" s="6" t="s">
        <v>11</v>
      </c>
      <c r="F14" s="10" t="s">
        <v>32</v>
      </c>
      <c r="G14" s="11" t="s">
        <v>21</v>
      </c>
      <c r="I14" s="10" t="s">
        <v>33</v>
      </c>
      <c r="J14" s="11" t="s">
        <v>21</v>
      </c>
      <c r="K14" s="10" t="s">
        <v>34</v>
      </c>
    </row>
    <row r="15" spans="2:11" ht="80.25" customHeight="1">
      <c r="B15" s="5">
        <v>7</v>
      </c>
      <c r="C15" s="46" t="s">
        <v>35</v>
      </c>
      <c r="D15" s="56"/>
      <c r="E15" s="6" t="s">
        <v>11</v>
      </c>
      <c r="F15" s="10" t="s">
        <v>36</v>
      </c>
      <c r="G15" s="6" t="s">
        <v>11</v>
      </c>
      <c r="I15" s="10" t="s">
        <v>37</v>
      </c>
      <c r="J15" s="6" t="s">
        <v>11</v>
      </c>
      <c r="K15" s="10" t="s">
        <v>38</v>
      </c>
    </row>
    <row r="16" spans="2:11" ht="126" customHeight="1">
      <c r="B16" s="5">
        <v>8</v>
      </c>
      <c r="C16" s="46" t="s">
        <v>39</v>
      </c>
      <c r="D16" s="56"/>
      <c r="E16" s="11" t="s">
        <v>21</v>
      </c>
      <c r="F16" s="10" t="s">
        <v>40</v>
      </c>
      <c r="G16" s="11" t="s">
        <v>21</v>
      </c>
      <c r="I16" s="10" t="s">
        <v>41</v>
      </c>
      <c r="J16" s="11" t="s">
        <v>21</v>
      </c>
      <c r="K16" s="10" t="s">
        <v>42</v>
      </c>
    </row>
    <row r="17" spans="2:11" ht="125.25" customHeight="1">
      <c r="B17" s="5">
        <v>9</v>
      </c>
      <c r="C17" s="46" t="s">
        <v>43</v>
      </c>
      <c r="D17" s="56"/>
      <c r="E17" s="6" t="s">
        <v>11</v>
      </c>
      <c r="F17" s="12" t="s">
        <v>44</v>
      </c>
      <c r="G17" s="6" t="s">
        <v>11</v>
      </c>
      <c r="I17" s="12" t="s">
        <v>45</v>
      </c>
      <c r="J17" s="6" t="s">
        <v>11</v>
      </c>
      <c r="K17" s="12" t="s">
        <v>46</v>
      </c>
    </row>
    <row r="18" spans="2:11" ht="118.5" customHeight="1">
      <c r="B18" s="5">
        <v>10</v>
      </c>
      <c r="C18" s="46" t="s">
        <v>47</v>
      </c>
      <c r="D18" s="56"/>
      <c r="E18" s="6" t="s">
        <v>11</v>
      </c>
      <c r="F18" s="10" t="s">
        <v>48</v>
      </c>
      <c r="G18" s="6" t="s">
        <v>11</v>
      </c>
      <c r="I18" s="10" t="s">
        <v>49</v>
      </c>
      <c r="J18" s="11" t="s">
        <v>21</v>
      </c>
      <c r="K18" s="10" t="s">
        <v>50</v>
      </c>
    </row>
    <row r="19" spans="2:11" ht="89.25" customHeight="1">
      <c r="B19" s="5">
        <v>11</v>
      </c>
      <c r="C19" s="46" t="s">
        <v>51</v>
      </c>
      <c r="D19" s="56"/>
      <c r="E19" s="6" t="s">
        <v>11</v>
      </c>
      <c r="F19" s="10" t="s">
        <v>52</v>
      </c>
      <c r="G19" s="11" t="s">
        <v>21</v>
      </c>
      <c r="I19" s="10" t="s">
        <v>53</v>
      </c>
      <c r="J19" s="6" t="s">
        <v>11</v>
      </c>
      <c r="K19" s="10" t="s">
        <v>54</v>
      </c>
    </row>
    <row r="20" spans="2:11" ht="14.25" customHeight="1">
      <c r="C20" s="1"/>
    </row>
    <row r="21" spans="2:11" ht="14.25" customHeight="1">
      <c r="C21" s="1"/>
    </row>
    <row r="22" spans="2:11" ht="14.25" customHeight="1">
      <c r="C22" s="1"/>
    </row>
    <row r="23" spans="2:11" ht="14.25" customHeight="1">
      <c r="C23" s="1"/>
    </row>
    <row r="24" spans="2:11" ht="14.25" customHeight="1">
      <c r="C24" s="1"/>
    </row>
    <row r="25" spans="2:11" ht="14.25" customHeight="1">
      <c r="C25" s="1"/>
    </row>
    <row r="26" spans="2:11" ht="14.25" customHeight="1">
      <c r="C26" s="1"/>
    </row>
    <row r="27" spans="2:11" ht="14.25" customHeight="1">
      <c r="C27" s="1"/>
    </row>
    <row r="28" spans="2:11" ht="14.25" customHeight="1">
      <c r="C28" s="1"/>
    </row>
    <row r="29" spans="2:11" ht="14.25" customHeight="1">
      <c r="C29" s="1"/>
    </row>
    <row r="30" spans="2:11" ht="14.25" customHeight="1">
      <c r="C30" s="1"/>
    </row>
    <row r="31" spans="2:11" ht="14.25" customHeight="1">
      <c r="C31" s="1"/>
    </row>
    <row r="32" spans="2:11" ht="14.25" customHeight="1">
      <c r="C32" s="1"/>
    </row>
    <row r="33" spans="3:3" ht="14.25" customHeight="1">
      <c r="C33" s="1"/>
    </row>
    <row r="34" spans="3:3" ht="14.25" customHeight="1">
      <c r="C34" s="1"/>
    </row>
    <row r="35" spans="3:3" ht="14.25" customHeight="1">
      <c r="C35" s="1"/>
    </row>
    <row r="36" spans="3:3" ht="14.25" customHeight="1">
      <c r="C36" s="1"/>
    </row>
    <row r="37" spans="3:3" ht="14.25" customHeight="1">
      <c r="C37" s="1"/>
    </row>
    <row r="38" spans="3:3" ht="14.25" customHeight="1">
      <c r="C38" s="1"/>
    </row>
    <row r="39" spans="3:3" ht="14.25" customHeight="1">
      <c r="C39" s="1"/>
    </row>
    <row r="40" spans="3:3" ht="14.25" customHeight="1">
      <c r="C40" s="1"/>
    </row>
    <row r="41" spans="3:3" ht="14.25" customHeight="1">
      <c r="C41" s="1"/>
    </row>
    <row r="42" spans="3:3" ht="14.25" customHeight="1">
      <c r="C42" s="1"/>
    </row>
    <row r="43" spans="3:3" ht="14.25" customHeight="1">
      <c r="C43" s="1"/>
    </row>
    <row r="44" spans="3:3" ht="14.25" customHeight="1">
      <c r="C44" s="1"/>
    </row>
    <row r="45" spans="3:3" ht="14.25" customHeight="1">
      <c r="C45" s="1"/>
    </row>
    <row r="46" spans="3:3" ht="14.25" customHeight="1">
      <c r="C46" s="1"/>
    </row>
    <row r="47" spans="3:3" ht="14.25" customHeight="1">
      <c r="C47" s="1"/>
    </row>
    <row r="48" spans="3:3" ht="14.25" customHeight="1">
      <c r="C48" s="1"/>
    </row>
    <row r="49" spans="3:3" ht="14.25" customHeight="1">
      <c r="C49" s="1"/>
    </row>
    <row r="50" spans="3:3" ht="14.25" customHeight="1">
      <c r="C50" s="1"/>
    </row>
    <row r="51" spans="3:3" ht="14.25" customHeight="1">
      <c r="C51" s="1"/>
    </row>
    <row r="52" spans="3:3" ht="14.25" customHeight="1">
      <c r="C52" s="1"/>
    </row>
    <row r="53" spans="3:3" ht="14.25" customHeight="1">
      <c r="C53" s="1"/>
    </row>
    <row r="54" spans="3:3" ht="14.25" customHeight="1">
      <c r="C54" s="1"/>
    </row>
    <row r="55" spans="3:3" ht="14.25" customHeight="1">
      <c r="C55" s="1"/>
    </row>
    <row r="56" spans="3:3" ht="14.25" customHeight="1">
      <c r="C56" s="1"/>
    </row>
    <row r="57" spans="3:3" ht="14.25" customHeight="1">
      <c r="C57" s="1"/>
    </row>
    <row r="58" spans="3:3" ht="14.25" customHeight="1">
      <c r="C58" s="1"/>
    </row>
    <row r="59" spans="3:3" ht="14.25" customHeight="1">
      <c r="C59" s="1"/>
    </row>
    <row r="60" spans="3:3" ht="14.25" customHeight="1">
      <c r="C60" s="1"/>
    </row>
    <row r="61" spans="3:3" ht="14.25" customHeight="1">
      <c r="C61" s="1"/>
    </row>
    <row r="62" spans="3:3" ht="14.25" customHeight="1">
      <c r="C62" s="1"/>
    </row>
    <row r="63" spans="3:3" ht="14.25" customHeight="1">
      <c r="C63" s="1"/>
    </row>
    <row r="64" spans="3:3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  <row r="999" spans="3:3" ht="14.25" customHeight="1">
      <c r="C999" s="1"/>
    </row>
    <row r="1000" spans="3:3" ht="14.25" customHeight="1">
      <c r="C1000" s="1"/>
    </row>
  </sheetData>
  <mergeCells count="22"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B7:B8"/>
    <mergeCell ref="C7:D8"/>
    <mergeCell ref="E7:E8"/>
    <mergeCell ref="F7:F8"/>
    <mergeCell ref="C16:D16"/>
    <mergeCell ref="G7:G8"/>
    <mergeCell ref="I7:I8"/>
    <mergeCell ref="J7:J8"/>
    <mergeCell ref="K7:K8"/>
    <mergeCell ref="C3:K4"/>
    <mergeCell ref="E5:K5"/>
    <mergeCell ref="F6:K6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32" sqref="C32:D32"/>
    </sheetView>
  </sheetViews>
  <sheetFormatPr defaultColWidth="14.42578125" defaultRowHeight="15" customHeight="1"/>
  <cols>
    <col min="1" max="1" width="10.7109375" customWidth="1"/>
    <col min="2" max="2" width="49.42578125" customWidth="1"/>
    <col min="3" max="26" width="10.7109375" customWidth="1"/>
  </cols>
  <sheetData>
    <row r="1" spans="1:26" ht="51" customHeight="1">
      <c r="A1" s="13"/>
      <c r="B1" s="14" t="s">
        <v>1</v>
      </c>
      <c r="C1" s="49" t="s">
        <v>55</v>
      </c>
      <c r="D1" s="5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56</v>
      </c>
      <c r="C2" s="50">
        <v>46296</v>
      </c>
      <c r="D2" s="54"/>
    </row>
    <row r="3" spans="1:26" ht="14.25" customHeight="1">
      <c r="B3" s="15" t="s">
        <v>57</v>
      </c>
      <c r="C3" s="51" t="s">
        <v>58</v>
      </c>
      <c r="D3" s="54"/>
    </row>
    <row r="4" spans="1:26" ht="14.25" customHeight="1">
      <c r="B4" s="15" t="s">
        <v>59</v>
      </c>
      <c r="C4" s="51" t="s">
        <v>60</v>
      </c>
      <c r="D4" s="54"/>
    </row>
    <row r="5" spans="1:26" ht="14.25" customHeight="1"/>
    <row r="6" spans="1:26" ht="14.25" customHeight="1">
      <c r="A6" s="52" t="s">
        <v>61</v>
      </c>
      <c r="B6" s="54"/>
      <c r="C6" s="54"/>
      <c r="D6" s="54"/>
    </row>
    <row r="7" spans="1:26" ht="15" customHeight="1">
      <c r="A7" s="16" t="s">
        <v>62</v>
      </c>
      <c r="B7" s="17" t="s">
        <v>63</v>
      </c>
      <c r="C7" s="17" t="s">
        <v>64</v>
      </c>
      <c r="D7" s="18" t="s">
        <v>65</v>
      </c>
    </row>
    <row r="8" spans="1:26" ht="37.5" customHeight="1">
      <c r="A8" s="34">
        <v>1</v>
      </c>
      <c r="B8" s="19" t="s">
        <v>66</v>
      </c>
      <c r="C8" s="20" t="s">
        <v>67</v>
      </c>
      <c r="D8" s="35"/>
    </row>
    <row r="9" spans="1:26" ht="28.5" customHeight="1">
      <c r="A9" s="34">
        <v>2</v>
      </c>
      <c r="B9" s="19" t="s">
        <v>68</v>
      </c>
      <c r="C9" s="35"/>
      <c r="D9" s="20" t="s">
        <v>67</v>
      </c>
    </row>
    <row r="10" spans="1:26" ht="56.25" customHeight="1">
      <c r="A10" s="34">
        <v>3</v>
      </c>
      <c r="B10" s="19" t="s">
        <v>69</v>
      </c>
      <c r="C10" s="20" t="s">
        <v>67</v>
      </c>
      <c r="D10" s="35"/>
    </row>
    <row r="11" spans="1:26" ht="48" customHeight="1">
      <c r="A11" s="34">
        <v>4</v>
      </c>
      <c r="B11" s="19" t="s">
        <v>70</v>
      </c>
      <c r="C11" s="20" t="s">
        <v>67</v>
      </c>
      <c r="D11" s="35"/>
    </row>
    <row r="12" spans="1:26" ht="43.5" customHeight="1">
      <c r="A12" s="34">
        <v>5</v>
      </c>
      <c r="B12" s="19" t="s">
        <v>71</v>
      </c>
      <c r="C12" s="20" t="s">
        <v>67</v>
      </c>
      <c r="D12" s="35"/>
    </row>
    <row r="13" spans="1:26" ht="24" customHeight="1">
      <c r="A13" s="34">
        <v>6</v>
      </c>
      <c r="B13" s="19" t="s">
        <v>72</v>
      </c>
      <c r="C13" s="20" t="s">
        <v>67</v>
      </c>
      <c r="D13" s="35"/>
    </row>
    <row r="14" spans="1:26" ht="25.5" customHeight="1">
      <c r="A14" s="34">
        <v>7</v>
      </c>
      <c r="B14" s="19" t="s">
        <v>73</v>
      </c>
      <c r="C14" s="20" t="s">
        <v>67</v>
      </c>
      <c r="D14" s="35"/>
    </row>
    <row r="15" spans="1:26" ht="36" customHeight="1">
      <c r="A15" s="34">
        <v>8</v>
      </c>
      <c r="B15" s="19" t="s">
        <v>74</v>
      </c>
      <c r="C15" s="20" t="s">
        <v>67</v>
      </c>
      <c r="D15" s="35"/>
    </row>
    <row r="16" spans="1:26" ht="52.5" customHeight="1">
      <c r="A16" s="21">
        <v>9</v>
      </c>
      <c r="B16" s="22" t="s">
        <v>75</v>
      </c>
      <c r="C16" s="20" t="s">
        <v>67</v>
      </c>
      <c r="D16" s="23"/>
    </row>
    <row r="17" spans="1:4" ht="14.25" customHeight="1">
      <c r="A17" s="47" t="s">
        <v>76</v>
      </c>
      <c r="B17" s="54"/>
      <c r="C17" s="25">
        <f>COUNTA('MODELO LISTA DE COMPROBACION 1 '!$C$8:$C$16)</f>
        <v>8</v>
      </c>
      <c r="D17" s="25">
        <f>COUNTA('MODELO LISTA DE COMPROBACION 1 '!$D$8:$D$16)</f>
        <v>1</v>
      </c>
    </row>
    <row r="18" spans="1:4" ht="14.25" customHeight="1">
      <c r="A18" s="47" t="s">
        <v>77</v>
      </c>
      <c r="B18" s="54"/>
      <c r="C18" s="26">
        <f t="shared" ref="C18:D18" si="0">C17/9</f>
        <v>0.88888888888888884</v>
      </c>
      <c r="D18" s="26">
        <f t="shared" si="0"/>
        <v>0.1111111111111111</v>
      </c>
    </row>
    <row r="19" spans="1:4" ht="14.25" customHeight="1">
      <c r="A19" s="24"/>
      <c r="B19" s="24"/>
      <c r="C19" s="26"/>
      <c r="D19" s="25"/>
    </row>
    <row r="20" spans="1:4" ht="14.25" customHeight="1">
      <c r="A20" s="53" t="s">
        <v>78</v>
      </c>
      <c r="B20" s="61"/>
      <c r="C20" s="61"/>
      <c r="D20" s="61"/>
    </row>
    <row r="21" spans="1:4" ht="14.25" customHeight="1">
      <c r="A21" s="36" t="s">
        <v>62</v>
      </c>
      <c r="B21" s="37" t="s">
        <v>63</v>
      </c>
      <c r="C21" s="38" t="s">
        <v>64</v>
      </c>
      <c r="D21" s="39" t="s">
        <v>65</v>
      </c>
    </row>
    <row r="22" spans="1:4" ht="47.25" customHeight="1">
      <c r="A22" s="34">
        <v>1</v>
      </c>
      <c r="B22" s="19" t="s">
        <v>79</v>
      </c>
      <c r="C22" s="23" t="s">
        <v>67</v>
      </c>
      <c r="D22" s="35"/>
    </row>
    <row r="23" spans="1:4" ht="39.75" customHeight="1">
      <c r="A23" s="34">
        <v>2</v>
      </c>
      <c r="B23" s="19" t="s">
        <v>80</v>
      </c>
      <c r="C23" s="35"/>
      <c r="D23" s="23" t="s">
        <v>67</v>
      </c>
    </row>
    <row r="24" spans="1:4" ht="30.75" customHeight="1">
      <c r="A24" s="34">
        <v>3</v>
      </c>
      <c r="B24" s="19" t="s">
        <v>81</v>
      </c>
      <c r="C24" s="27"/>
      <c r="D24" s="23" t="s">
        <v>67</v>
      </c>
    </row>
    <row r="25" spans="1:4" ht="30.75" customHeight="1">
      <c r="A25" s="34">
        <v>4</v>
      </c>
      <c r="B25" s="19" t="s">
        <v>82</v>
      </c>
      <c r="C25" s="23" t="s">
        <v>67</v>
      </c>
      <c r="D25" s="35"/>
    </row>
    <row r="26" spans="1:4" ht="33.75" customHeight="1">
      <c r="A26" s="21">
        <v>5</v>
      </c>
      <c r="B26" s="22" t="s">
        <v>83</v>
      </c>
      <c r="C26" s="23" t="s">
        <v>67</v>
      </c>
      <c r="D26" s="27"/>
    </row>
    <row r="27" spans="1:4" ht="14.25" customHeight="1">
      <c r="A27" s="47" t="s">
        <v>76</v>
      </c>
      <c r="B27" s="54"/>
      <c r="C27" s="25">
        <f>COUNTA('MODELO LISTA DE COMPROBACION 1 '!$C$22:$C$26)</f>
        <v>3</v>
      </c>
      <c r="D27" s="25">
        <f>COUNTA('MODELO LISTA DE COMPROBACION 1 '!$D$22:$D$26)</f>
        <v>2</v>
      </c>
    </row>
    <row r="28" spans="1:4" ht="14.25" customHeight="1">
      <c r="A28" s="47" t="s">
        <v>77</v>
      </c>
      <c r="B28" s="54"/>
      <c r="C28" s="26">
        <f t="shared" ref="C28:D28" si="1">C27/5</f>
        <v>0.6</v>
      </c>
      <c r="D28" s="26">
        <f t="shared" si="1"/>
        <v>0.4</v>
      </c>
    </row>
    <row r="29" spans="1:4" ht="14.25" customHeight="1">
      <c r="A29" s="24"/>
      <c r="B29" s="24"/>
      <c r="C29" s="26"/>
      <c r="D29" s="25"/>
    </row>
    <row r="30" spans="1:4" ht="14.25" customHeight="1">
      <c r="A30" s="52" t="s">
        <v>84</v>
      </c>
      <c r="B30" s="54"/>
      <c r="C30" s="54"/>
      <c r="D30" s="54"/>
    </row>
    <row r="31" spans="1:4" ht="14.25" customHeight="1">
      <c r="A31" s="36" t="s">
        <v>62</v>
      </c>
      <c r="B31" s="37" t="s">
        <v>63</v>
      </c>
      <c r="C31" s="38" t="s">
        <v>64</v>
      </c>
      <c r="D31" s="39" t="s">
        <v>65</v>
      </c>
    </row>
    <row r="32" spans="1:4" ht="37.5" customHeight="1">
      <c r="A32" s="34">
        <v>1</v>
      </c>
      <c r="B32" s="19" t="s">
        <v>85</v>
      </c>
      <c r="C32" s="23" t="s">
        <v>67</v>
      </c>
      <c r="D32" s="23"/>
    </row>
    <row r="33" spans="1:4" ht="40.5" customHeight="1">
      <c r="A33" s="34">
        <v>2</v>
      </c>
      <c r="B33" s="19" t="s">
        <v>86</v>
      </c>
      <c r="C33" s="23"/>
      <c r="D33" s="23" t="s">
        <v>67</v>
      </c>
    </row>
    <row r="34" spans="1:4" ht="39" customHeight="1">
      <c r="A34" s="21">
        <v>3</v>
      </c>
      <c r="B34" s="22" t="s">
        <v>87</v>
      </c>
      <c r="C34" s="23"/>
      <c r="D34" s="23" t="s">
        <v>67</v>
      </c>
    </row>
    <row r="35" spans="1:4" ht="14.25" customHeight="1">
      <c r="A35" s="47" t="s">
        <v>76</v>
      </c>
      <c r="B35" s="54"/>
      <c r="C35" s="8">
        <f>COUNTA('MODELO LISTA DE COMPROBACION 1 '!$C$32:$C$34)</f>
        <v>1</v>
      </c>
      <c r="D35" s="8">
        <f>COUNTA('MODELO LISTA DE COMPROBACION 1 '!$D$32:$D$34)</f>
        <v>2</v>
      </c>
    </row>
    <row r="36" spans="1:4" ht="14.25" customHeight="1">
      <c r="A36" s="47" t="s">
        <v>77</v>
      </c>
      <c r="B36" s="54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8" t="s">
        <v>88</v>
      </c>
      <c r="B40" s="54"/>
      <c r="C40" s="54"/>
    </row>
    <row r="41" spans="1:4" ht="30" customHeight="1">
      <c r="B41" s="13" t="s">
        <v>89</v>
      </c>
      <c r="C41" s="25">
        <v>89</v>
      </c>
    </row>
    <row r="42" spans="1:4" ht="30" customHeight="1">
      <c r="B42" s="13" t="s">
        <v>78</v>
      </c>
      <c r="C42" s="25">
        <v>100</v>
      </c>
    </row>
    <row r="43" spans="1:4" ht="30" customHeight="1">
      <c r="B43" s="13" t="s">
        <v>84</v>
      </c>
      <c r="C43" s="25">
        <v>100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52" priority="17" operator="containsText" text="X">
      <formula>NOT(ISERROR(SEARCH(("X"),(A32))))</formula>
    </cfRule>
  </conditionalFormatting>
  <conditionalFormatting sqref="C32:D34 C8:D16 C22:C26">
    <cfRule type="containsText" dxfId="51" priority="18" operator="containsText" text="X">
      <formula>NOT(ISERROR(SEARCH(("X"),(C8))))</formula>
    </cfRule>
  </conditionalFormatting>
  <conditionalFormatting sqref="C32:D34 C8:D16 C22:C26">
    <cfRule type="containsText" dxfId="50" priority="19" operator="containsText" text="X">
      <formula>NOT(ISERROR(SEARCH(("X"),(C8))))</formula>
    </cfRule>
  </conditionalFormatting>
  <conditionalFormatting sqref="C32:D34 C8:D16 C22:C26">
    <cfRule type="containsText" dxfId="49" priority="20" operator="containsText" text="X">
      <formula>NOT(ISERROR(SEARCH(("X"),(C8))))</formula>
    </cfRule>
  </conditionalFormatting>
  <conditionalFormatting sqref="C32:D34 C8:D16 C22:C26">
    <cfRule type="containsText" dxfId="48" priority="21" operator="containsText" text="X">
      <formula>NOT(ISERROR(SEARCH(("X"),(C8))))</formula>
    </cfRule>
  </conditionalFormatting>
  <conditionalFormatting sqref="C22:D26">
    <cfRule type="containsText" dxfId="47" priority="22" operator="containsText" text="X">
      <formula>NOT(ISERROR(SEARCH(("X"),(C22))))</formula>
    </cfRule>
  </conditionalFormatting>
  <conditionalFormatting sqref="C22:D26">
    <cfRule type="containsText" dxfId="46" priority="23" operator="containsText" text="X">
      <formula>NOT(ISERROR(SEARCH(("X"),(C22))))</formula>
    </cfRule>
  </conditionalFormatting>
  <conditionalFormatting sqref="C32:D34">
    <cfRule type="containsText" dxfId="45" priority="24" operator="containsText" text="X">
      <formula>NOT(ISERROR(SEARCH(("X"),(C32))))</formula>
    </cfRule>
  </conditionalFormatting>
  <conditionalFormatting sqref="D23">
    <cfRule type="containsText" dxfId="44" priority="13" operator="containsText" text="X">
      <formula>NOT(ISERROR(SEARCH(("X"),(D23))))</formula>
    </cfRule>
  </conditionalFormatting>
  <conditionalFormatting sqref="D23">
    <cfRule type="containsText" dxfId="43" priority="14" operator="containsText" text="X">
      <formula>NOT(ISERROR(SEARCH(("X"),(D23))))</formula>
    </cfRule>
  </conditionalFormatting>
  <conditionalFormatting sqref="D23">
    <cfRule type="containsText" dxfId="42" priority="15" operator="containsText" text="X">
      <formula>NOT(ISERROR(SEARCH(("X"),(D23))))</formula>
    </cfRule>
  </conditionalFormatting>
  <conditionalFormatting sqref="D23">
    <cfRule type="containsText" dxfId="41" priority="16" operator="containsText" text="X">
      <formula>NOT(ISERROR(SEARCH(("X"),(D23))))</formula>
    </cfRule>
  </conditionalFormatting>
  <conditionalFormatting sqref="C26:D26">
    <cfRule type="containsText" dxfId="40" priority="9" operator="containsText" text="X">
      <formula>NOT(ISERROR(SEARCH(("X"),(C26))))</formula>
    </cfRule>
  </conditionalFormatting>
  <conditionalFormatting sqref="C26:D26">
    <cfRule type="containsText" dxfId="39" priority="10" operator="containsText" text="X">
      <formula>NOT(ISERROR(SEARCH(("X"),(C26))))</formula>
    </cfRule>
  </conditionalFormatting>
  <conditionalFormatting sqref="C26:D26">
    <cfRule type="containsText" dxfId="38" priority="11" operator="containsText" text="X">
      <formula>NOT(ISERROR(SEARCH(("X"),(C26))))</formula>
    </cfRule>
  </conditionalFormatting>
  <conditionalFormatting sqref="C26:D26">
    <cfRule type="containsText" dxfId="37" priority="12" operator="containsText" text="X">
      <formula>NOT(ISERROR(SEARCH(("X"),(C26))))</formula>
    </cfRule>
  </conditionalFormatting>
  <conditionalFormatting sqref="D24">
    <cfRule type="containsText" dxfId="36" priority="5" operator="containsText" text="X">
      <formula>NOT(ISERROR(SEARCH(("X"),(D24))))</formula>
    </cfRule>
  </conditionalFormatting>
  <conditionalFormatting sqref="D24">
    <cfRule type="containsText" dxfId="35" priority="6" operator="containsText" text="X">
      <formula>NOT(ISERROR(SEARCH(("X"),(D24))))</formula>
    </cfRule>
  </conditionalFormatting>
  <conditionalFormatting sqref="D24">
    <cfRule type="containsText" dxfId="34" priority="7" operator="containsText" text="X">
      <formula>NOT(ISERROR(SEARCH(("X"),(D24))))</formula>
    </cfRule>
  </conditionalFormatting>
  <conditionalFormatting sqref="D24">
    <cfRule type="containsText" dxfId="33" priority="8" operator="containsText" text="X">
      <formula>NOT(ISERROR(SEARCH(("X"),(D24))))</formula>
    </cfRule>
  </conditionalFormatting>
  <conditionalFormatting sqref="D26">
    <cfRule type="containsText" dxfId="32" priority="1" operator="containsText" text="X">
      <formula>NOT(ISERROR(SEARCH(("X"),(D26))))</formula>
    </cfRule>
  </conditionalFormatting>
  <conditionalFormatting sqref="D26">
    <cfRule type="containsText" dxfId="31" priority="2" operator="containsText" text="X">
      <formula>NOT(ISERROR(SEARCH(("X"),(D26))))</formula>
    </cfRule>
  </conditionalFormatting>
  <conditionalFormatting sqref="D26">
    <cfRule type="containsText" dxfId="30" priority="3" operator="containsText" text="X">
      <formula>NOT(ISERROR(SEARCH(("X"),(D26))))</formula>
    </cfRule>
  </conditionalFormatting>
  <conditionalFormatting sqref="D26">
    <cfRule type="containsText" dxfId="29" priority="4" operator="containsText" text="X">
      <formula>NOT(ISERROR(SEARCH(("X"),(D26))))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M8" sqref="M8"/>
    </sheetView>
  </sheetViews>
  <sheetFormatPr defaultColWidth="14.42578125" defaultRowHeight="15" customHeight="1"/>
  <cols>
    <col min="1" max="1" width="10.7109375" customWidth="1"/>
    <col min="2" max="2" width="34.57031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9" t="s">
        <v>55</v>
      </c>
      <c r="D1" s="5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56</v>
      </c>
      <c r="C2" s="50">
        <v>46296</v>
      </c>
      <c r="D2" s="54"/>
    </row>
    <row r="3" spans="1:26" ht="14.25" customHeight="1">
      <c r="B3" s="15" t="s">
        <v>57</v>
      </c>
      <c r="C3" s="51" t="s">
        <v>90</v>
      </c>
      <c r="D3" s="54"/>
    </row>
    <row r="4" spans="1:26" ht="33" customHeight="1">
      <c r="B4" s="15" t="s">
        <v>59</v>
      </c>
      <c r="C4" s="51" t="s">
        <v>91</v>
      </c>
      <c r="D4" s="54"/>
    </row>
    <row r="5" spans="1:26" ht="14.25" customHeight="1"/>
    <row r="6" spans="1:26" ht="14.25" customHeight="1">
      <c r="A6" s="52" t="s">
        <v>61</v>
      </c>
      <c r="B6" s="54"/>
      <c r="C6" s="54"/>
      <c r="D6" s="54"/>
    </row>
    <row r="7" spans="1:26" ht="15" customHeight="1">
      <c r="A7" s="16" t="s">
        <v>62</v>
      </c>
      <c r="B7" s="17" t="s">
        <v>63</v>
      </c>
      <c r="C7" s="17" t="s">
        <v>64</v>
      </c>
      <c r="D7" s="18" t="s">
        <v>65</v>
      </c>
    </row>
    <row r="8" spans="1:26" ht="14.25" customHeight="1">
      <c r="A8" s="34">
        <v>1</v>
      </c>
      <c r="B8" s="19" t="s">
        <v>66</v>
      </c>
      <c r="C8" s="20" t="s">
        <v>67</v>
      </c>
      <c r="D8" s="35"/>
    </row>
    <row r="9" spans="1:26" ht="14.25" customHeight="1">
      <c r="A9" s="34">
        <v>2</v>
      </c>
      <c r="B9" s="19" t="s">
        <v>68</v>
      </c>
      <c r="C9" s="20"/>
      <c r="D9" s="35" t="s">
        <v>67</v>
      </c>
    </row>
    <row r="10" spans="1:26" ht="14.25" customHeight="1">
      <c r="A10" s="34">
        <v>3</v>
      </c>
      <c r="B10" s="19" t="s">
        <v>69</v>
      </c>
      <c r="C10" s="20" t="s">
        <v>67</v>
      </c>
      <c r="D10" s="35"/>
    </row>
    <row r="11" spans="1:26" ht="14.25" customHeight="1">
      <c r="A11" s="34">
        <v>4</v>
      </c>
      <c r="B11" s="19" t="s">
        <v>70</v>
      </c>
      <c r="C11" s="20" t="s">
        <v>67</v>
      </c>
      <c r="D11" s="35"/>
    </row>
    <row r="12" spans="1:26" ht="14.25" customHeight="1">
      <c r="A12" s="34">
        <v>5</v>
      </c>
      <c r="B12" s="19" t="s">
        <v>71</v>
      </c>
      <c r="C12" s="20" t="s">
        <v>67</v>
      </c>
      <c r="D12" s="35"/>
    </row>
    <row r="13" spans="1:26" ht="14.25" customHeight="1">
      <c r="A13" s="34">
        <v>6</v>
      </c>
      <c r="B13" s="19" t="s">
        <v>72</v>
      </c>
      <c r="C13" s="20" t="s">
        <v>67</v>
      </c>
      <c r="D13" s="35"/>
    </row>
    <row r="14" spans="1:26" ht="14.25" customHeight="1">
      <c r="A14" s="34">
        <v>7</v>
      </c>
      <c r="B14" s="19" t="s">
        <v>73</v>
      </c>
      <c r="C14" s="35"/>
      <c r="D14" s="35" t="s">
        <v>67</v>
      </c>
    </row>
    <row r="15" spans="1:26" ht="14.25" customHeight="1">
      <c r="A15" s="34">
        <v>8</v>
      </c>
      <c r="B15" s="19" t="s">
        <v>74</v>
      </c>
      <c r="C15" s="20" t="s">
        <v>67</v>
      </c>
      <c r="D15" s="35"/>
    </row>
    <row r="16" spans="1:26" ht="14.25" customHeight="1">
      <c r="A16" s="21">
        <v>9</v>
      </c>
      <c r="B16" s="22" t="s">
        <v>75</v>
      </c>
      <c r="C16" s="23" t="s">
        <v>67</v>
      </c>
      <c r="D16" s="23"/>
    </row>
    <row r="17" spans="1:4" ht="14.25" customHeight="1">
      <c r="A17" s="47" t="s">
        <v>76</v>
      </c>
      <c r="B17" s="54"/>
      <c r="C17" s="25">
        <f>COUNTA('MODELO LISTA DE COMPROBACION 2'!$C$8:$C$16)</f>
        <v>7</v>
      </c>
      <c r="D17" s="25">
        <f>COUNTA('MODELO LISTA DE COMPROBACION 2'!$D$8:$D$16)</f>
        <v>2</v>
      </c>
    </row>
    <row r="18" spans="1:4" ht="14.25" customHeight="1">
      <c r="A18" s="47" t="s">
        <v>77</v>
      </c>
      <c r="B18" s="54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3" t="s">
        <v>78</v>
      </c>
      <c r="B20" s="61"/>
      <c r="C20" s="61"/>
      <c r="D20" s="61"/>
    </row>
    <row r="21" spans="1:4" ht="14.25" customHeight="1">
      <c r="A21" s="36" t="s">
        <v>62</v>
      </c>
      <c r="B21" s="37" t="s">
        <v>63</v>
      </c>
      <c r="C21" s="38" t="s">
        <v>64</v>
      </c>
      <c r="D21" s="39" t="s">
        <v>65</v>
      </c>
    </row>
    <row r="22" spans="1:4" ht="14.25" customHeight="1">
      <c r="A22" s="34">
        <v>1</v>
      </c>
      <c r="B22" s="19" t="s">
        <v>79</v>
      </c>
      <c r="C22" s="23" t="s">
        <v>67</v>
      </c>
      <c r="D22" s="35"/>
    </row>
    <row r="23" spans="1:4" ht="14.25" customHeight="1">
      <c r="A23" s="34">
        <v>2</v>
      </c>
      <c r="B23" s="19" t="s">
        <v>80</v>
      </c>
      <c r="C23" s="23"/>
      <c r="D23" s="35" t="s">
        <v>67</v>
      </c>
    </row>
    <row r="24" spans="1:4" ht="14.25" customHeight="1">
      <c r="A24" s="34">
        <v>3</v>
      </c>
      <c r="B24" s="19" t="s">
        <v>81</v>
      </c>
      <c r="C24" s="23"/>
      <c r="D24" s="27" t="s">
        <v>67</v>
      </c>
    </row>
    <row r="25" spans="1:4" ht="14.25" customHeight="1">
      <c r="A25" s="34">
        <v>4</v>
      </c>
      <c r="B25" s="19" t="s">
        <v>82</v>
      </c>
      <c r="C25" s="23"/>
      <c r="D25" s="35" t="s">
        <v>67</v>
      </c>
    </row>
    <row r="26" spans="1:4" ht="14.25" customHeight="1">
      <c r="A26" s="21">
        <v>5</v>
      </c>
      <c r="B26" s="22" t="s">
        <v>83</v>
      </c>
      <c r="C26" s="23" t="s">
        <v>67</v>
      </c>
      <c r="D26" s="35"/>
    </row>
    <row r="27" spans="1:4" ht="14.25" customHeight="1">
      <c r="A27" s="47" t="s">
        <v>76</v>
      </c>
      <c r="B27" s="54"/>
      <c r="C27" s="25">
        <f>COUNTA('MODELO LISTA DE COMPROBACION 2'!$C$22:$C$26)</f>
        <v>2</v>
      </c>
      <c r="D27" s="25">
        <f>COUNTA('MODELO LISTA DE COMPROBACION 2'!$D$22:$D$26)</f>
        <v>3</v>
      </c>
    </row>
    <row r="28" spans="1:4" ht="14.25" customHeight="1">
      <c r="A28" s="47" t="s">
        <v>77</v>
      </c>
      <c r="B28" s="54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2" t="s">
        <v>84</v>
      </c>
      <c r="B30" s="54"/>
      <c r="C30" s="54"/>
      <c r="D30" s="54"/>
    </row>
    <row r="31" spans="1:4" ht="14.25" customHeight="1">
      <c r="A31" s="36" t="s">
        <v>62</v>
      </c>
      <c r="B31" s="37" t="s">
        <v>63</v>
      </c>
      <c r="C31" s="38" t="s">
        <v>64</v>
      </c>
      <c r="D31" s="39" t="s">
        <v>65</v>
      </c>
    </row>
    <row r="32" spans="1:4" ht="14.25" customHeight="1">
      <c r="A32" s="34">
        <v>1</v>
      </c>
      <c r="B32" s="19" t="s">
        <v>85</v>
      </c>
      <c r="C32" s="23" t="s">
        <v>67</v>
      </c>
      <c r="D32" s="23"/>
    </row>
    <row r="33" spans="1:4" ht="14.25" customHeight="1">
      <c r="A33" s="34">
        <v>2</v>
      </c>
      <c r="B33" s="19" t="s">
        <v>86</v>
      </c>
      <c r="C33" s="23"/>
      <c r="D33" s="23" t="s">
        <v>67</v>
      </c>
    </row>
    <row r="34" spans="1:4" ht="14.25" customHeight="1">
      <c r="A34" s="21">
        <v>3</v>
      </c>
      <c r="B34" s="22" t="s">
        <v>87</v>
      </c>
      <c r="D34" s="23" t="s">
        <v>67</v>
      </c>
    </row>
    <row r="35" spans="1:4" ht="14.25" customHeight="1">
      <c r="A35" s="47" t="s">
        <v>76</v>
      </c>
      <c r="B35" s="54"/>
      <c r="C35" s="8">
        <f>COUNTA('MODELO LISTA DE COMPROBACION 2'!$C$32:$C$34)</f>
        <v>1</v>
      </c>
      <c r="D35" s="8">
        <f>COUNTA('MODELO LISTA DE COMPROBACION 2'!$D$32:$D$34)</f>
        <v>2</v>
      </c>
    </row>
    <row r="36" spans="1:4" ht="14.25" customHeight="1">
      <c r="A36" s="47" t="s">
        <v>77</v>
      </c>
      <c r="B36" s="54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8" t="s">
        <v>88</v>
      </c>
      <c r="B40" s="54"/>
      <c r="C40" s="54"/>
    </row>
    <row r="41" spans="1:4" ht="30" customHeight="1">
      <c r="B41" s="13" t="s">
        <v>89</v>
      </c>
      <c r="C41" s="25">
        <f>ROUND(C18*100,0)</f>
        <v>78</v>
      </c>
    </row>
    <row r="42" spans="1:4" ht="30" customHeight="1">
      <c r="B42" s="13" t="s">
        <v>78</v>
      </c>
      <c r="C42" s="25">
        <f>ROUND(C28*100,0)</f>
        <v>40</v>
      </c>
    </row>
    <row r="43" spans="1:4" ht="30" customHeight="1">
      <c r="B43" s="13" t="s">
        <v>84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3:D34 A32:B32">
    <cfRule type="containsText" dxfId="28" priority="7" operator="containsText" text="X">
      <formula>NOT(ISERROR(SEARCH(("X"),(A32))))</formula>
    </cfRule>
  </conditionalFormatting>
  <conditionalFormatting sqref="C33:D34 C8:D16 C22:C26">
    <cfRule type="containsText" dxfId="27" priority="8" operator="containsText" text="X">
      <formula>NOT(ISERROR(SEARCH(("X"),(C8))))</formula>
    </cfRule>
  </conditionalFormatting>
  <conditionalFormatting sqref="C33:D34 C8:D16 C22:C26">
    <cfRule type="containsText" dxfId="26" priority="9" operator="containsText" text="X">
      <formula>NOT(ISERROR(SEARCH(("X"),(C8))))</formula>
    </cfRule>
  </conditionalFormatting>
  <conditionalFormatting sqref="C33:D34 C8:D16 C22:C26">
    <cfRule type="containsText" dxfId="25" priority="10" operator="containsText" text="X">
      <formula>NOT(ISERROR(SEARCH(("X"),(C8))))</formula>
    </cfRule>
  </conditionalFormatting>
  <conditionalFormatting sqref="C33:D34 C8:D16 C22:C26">
    <cfRule type="containsText" dxfId="24" priority="11" operator="containsText" text="X">
      <formula>NOT(ISERROR(SEARCH(("X"),(C8))))</formula>
    </cfRule>
  </conditionalFormatting>
  <conditionalFormatting sqref="C22:D26">
    <cfRule type="containsText" dxfId="23" priority="12" operator="containsText" text="X">
      <formula>NOT(ISERROR(SEARCH(("X"),(C22))))</formula>
    </cfRule>
  </conditionalFormatting>
  <conditionalFormatting sqref="C22:D26">
    <cfRule type="containsText" dxfId="22" priority="13" operator="containsText" text="X">
      <formula>NOT(ISERROR(SEARCH(("X"),(C22))))</formula>
    </cfRule>
  </conditionalFormatting>
  <conditionalFormatting sqref="C33:D34">
    <cfRule type="containsText" dxfId="21" priority="14" operator="containsText" text="X">
      <formula>NOT(ISERROR(SEARCH(("X"),(C33))))</formula>
    </cfRule>
  </conditionalFormatting>
  <conditionalFormatting sqref="C32:D32">
    <cfRule type="containsText" dxfId="20" priority="1" operator="containsText" text="X">
      <formula>NOT(ISERROR(SEARCH(("X"),(C32))))</formula>
    </cfRule>
  </conditionalFormatting>
  <conditionalFormatting sqref="C32:D32">
    <cfRule type="containsText" dxfId="19" priority="2" operator="containsText" text="X">
      <formula>NOT(ISERROR(SEARCH(("X"),(C32))))</formula>
    </cfRule>
  </conditionalFormatting>
  <conditionalFormatting sqref="C32:D32">
    <cfRule type="containsText" dxfId="18" priority="3" operator="containsText" text="X">
      <formula>NOT(ISERROR(SEARCH(("X"),(C32))))</formula>
    </cfRule>
  </conditionalFormatting>
  <conditionalFormatting sqref="C32:D32">
    <cfRule type="containsText" dxfId="17" priority="4" operator="containsText" text="X">
      <formula>NOT(ISERROR(SEARCH(("X"),(C32))))</formula>
    </cfRule>
  </conditionalFormatting>
  <conditionalFormatting sqref="C32:D32">
    <cfRule type="containsText" dxfId="16" priority="5" operator="containsText" text="X">
      <formula>NOT(ISERROR(SEARCH(("X"),(C32))))</formula>
    </cfRule>
  </conditionalFormatting>
  <conditionalFormatting sqref="C32:D32">
    <cfRule type="containsText" dxfId="15" priority="6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9" workbookViewId="0">
      <selection activeCell="C4" sqref="C4:D4"/>
    </sheetView>
  </sheetViews>
  <sheetFormatPr defaultColWidth="14.42578125" defaultRowHeight="15" customHeight="1"/>
  <cols>
    <col min="1" max="1" width="10.7109375" customWidth="1"/>
    <col min="2" max="2" width="44.140625" customWidth="1"/>
    <col min="3" max="3" width="16.140625" customWidth="1"/>
    <col min="4" max="26" width="10.7109375" customWidth="1"/>
  </cols>
  <sheetData>
    <row r="1" spans="1:26" ht="51" customHeight="1">
      <c r="A1" s="13"/>
      <c r="B1" s="14" t="s">
        <v>1</v>
      </c>
      <c r="C1" s="49" t="s">
        <v>55</v>
      </c>
      <c r="D1" s="54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4.25" customHeight="1">
      <c r="B2" s="15" t="s">
        <v>56</v>
      </c>
      <c r="C2" s="50">
        <v>46296</v>
      </c>
      <c r="D2" s="54"/>
    </row>
    <row r="3" spans="1:26" ht="14.25" customHeight="1">
      <c r="B3" s="15" t="s">
        <v>57</v>
      </c>
      <c r="C3" s="51" t="s">
        <v>92</v>
      </c>
      <c r="D3" s="54"/>
    </row>
    <row r="4" spans="1:26" ht="48" customHeight="1">
      <c r="B4" s="15" t="s">
        <v>59</v>
      </c>
      <c r="C4" s="51" t="s">
        <v>93</v>
      </c>
      <c r="D4" s="54"/>
    </row>
    <row r="5" spans="1:26" ht="14.25" customHeight="1"/>
    <row r="6" spans="1:26" ht="14.25" customHeight="1">
      <c r="A6" s="52" t="s">
        <v>61</v>
      </c>
      <c r="B6" s="54"/>
      <c r="C6" s="54"/>
      <c r="D6" s="54"/>
    </row>
    <row r="7" spans="1:26" ht="15" customHeight="1">
      <c r="A7" s="16" t="s">
        <v>62</v>
      </c>
      <c r="B7" s="17" t="s">
        <v>63</v>
      </c>
      <c r="C7" s="17" t="s">
        <v>64</v>
      </c>
      <c r="D7" s="18" t="s">
        <v>65</v>
      </c>
    </row>
    <row r="8" spans="1:26" ht="31.5" customHeight="1">
      <c r="A8" s="34">
        <v>1</v>
      </c>
      <c r="B8" s="19" t="s">
        <v>66</v>
      </c>
      <c r="C8" s="20" t="s">
        <v>67</v>
      </c>
      <c r="D8" s="35"/>
    </row>
    <row r="9" spans="1:26" ht="27" customHeight="1">
      <c r="A9" s="34">
        <v>2</v>
      </c>
      <c r="B9" s="19" t="s">
        <v>68</v>
      </c>
      <c r="D9" s="20" t="s">
        <v>67</v>
      </c>
    </row>
    <row r="10" spans="1:26" ht="57.75" customHeight="1">
      <c r="A10" s="34">
        <v>3</v>
      </c>
      <c r="B10" s="19" t="s">
        <v>69</v>
      </c>
      <c r="C10" s="20" t="s">
        <v>67</v>
      </c>
      <c r="D10" s="35"/>
    </row>
    <row r="11" spans="1:26" ht="31.5" customHeight="1">
      <c r="A11" s="34">
        <v>4</v>
      </c>
      <c r="B11" s="19" t="s">
        <v>70</v>
      </c>
      <c r="C11" s="20" t="s">
        <v>67</v>
      </c>
      <c r="D11" s="35"/>
    </row>
    <row r="12" spans="1:26" ht="31.5" customHeight="1">
      <c r="A12" s="34">
        <v>5</v>
      </c>
      <c r="B12" s="19" t="s">
        <v>71</v>
      </c>
      <c r="C12" s="20" t="s">
        <v>67</v>
      </c>
      <c r="D12" s="35"/>
    </row>
    <row r="13" spans="1:26" ht="33" customHeight="1">
      <c r="A13" s="34">
        <v>6</v>
      </c>
      <c r="B13" s="19" t="s">
        <v>72</v>
      </c>
      <c r="C13" s="20" t="s">
        <v>67</v>
      </c>
      <c r="D13" s="35"/>
    </row>
    <row r="14" spans="1:26" ht="32.25" customHeight="1">
      <c r="A14" s="34">
        <v>7</v>
      </c>
      <c r="B14" s="19" t="s">
        <v>73</v>
      </c>
      <c r="C14" s="35"/>
      <c r="D14" s="20" t="s">
        <v>67</v>
      </c>
    </row>
    <row r="15" spans="1:26" ht="48.75" customHeight="1">
      <c r="A15" s="34">
        <v>8</v>
      </c>
      <c r="B15" s="19" t="s">
        <v>74</v>
      </c>
      <c r="C15" s="20" t="s">
        <v>67</v>
      </c>
      <c r="D15" s="35"/>
    </row>
    <row r="16" spans="1:26" ht="59.25" customHeight="1">
      <c r="A16" s="21">
        <v>9</v>
      </c>
      <c r="B16" s="22" t="s">
        <v>75</v>
      </c>
      <c r="C16" s="20" t="s">
        <v>67</v>
      </c>
      <c r="D16" s="35"/>
    </row>
    <row r="17" spans="1:4" ht="14.25" customHeight="1">
      <c r="A17" s="47" t="s">
        <v>76</v>
      </c>
      <c r="B17" s="54"/>
      <c r="C17" s="25">
        <f>COUNTA('MODELO LISTA DE COMPROBACION 3'!$C$8:$C$16)</f>
        <v>7</v>
      </c>
      <c r="D17" s="25">
        <f>COUNTA('MODELO LISTA DE COMPROBACION 3'!$D$8:$D$16)</f>
        <v>2</v>
      </c>
    </row>
    <row r="18" spans="1:4" ht="14.25" customHeight="1">
      <c r="A18" s="47" t="s">
        <v>77</v>
      </c>
      <c r="B18" s="54"/>
      <c r="C18" s="26">
        <f t="shared" ref="C18:D18" si="0">C17/9</f>
        <v>0.77777777777777779</v>
      </c>
      <c r="D18" s="26">
        <f t="shared" si="0"/>
        <v>0.22222222222222221</v>
      </c>
    </row>
    <row r="19" spans="1:4" ht="14.25" customHeight="1">
      <c r="A19" s="24"/>
      <c r="B19" s="24"/>
      <c r="C19" s="26"/>
      <c r="D19" s="25"/>
    </row>
    <row r="20" spans="1:4" ht="14.25" customHeight="1">
      <c r="A20" s="53" t="s">
        <v>78</v>
      </c>
      <c r="B20" s="61"/>
      <c r="C20" s="61"/>
      <c r="D20" s="61"/>
    </row>
    <row r="21" spans="1:4" ht="14.25" customHeight="1">
      <c r="A21" s="36" t="s">
        <v>62</v>
      </c>
      <c r="B21" s="37" t="s">
        <v>63</v>
      </c>
      <c r="C21" s="38" t="s">
        <v>64</v>
      </c>
      <c r="D21" s="39" t="s">
        <v>65</v>
      </c>
    </row>
    <row r="22" spans="1:4" ht="30" customHeight="1">
      <c r="A22" s="34">
        <v>1</v>
      </c>
      <c r="B22" s="19" t="s">
        <v>79</v>
      </c>
      <c r="C22" s="23" t="s">
        <v>67</v>
      </c>
      <c r="D22" s="35"/>
    </row>
    <row r="23" spans="1:4" ht="28.5" customHeight="1">
      <c r="A23" s="34">
        <v>2</v>
      </c>
      <c r="B23" s="19" t="s">
        <v>80</v>
      </c>
      <c r="C23" s="23"/>
      <c r="D23" s="35" t="s">
        <v>67</v>
      </c>
    </row>
    <row r="24" spans="1:4" ht="30.75" customHeight="1">
      <c r="A24" s="34">
        <v>3</v>
      </c>
      <c r="B24" s="19" t="s">
        <v>81</v>
      </c>
      <c r="C24" s="23"/>
      <c r="D24" s="27" t="s">
        <v>67</v>
      </c>
    </row>
    <row r="25" spans="1:4" ht="31.5" customHeight="1">
      <c r="A25" s="34">
        <v>4</v>
      </c>
      <c r="B25" s="19" t="s">
        <v>82</v>
      </c>
      <c r="C25" s="23"/>
      <c r="D25" s="35" t="s">
        <v>67</v>
      </c>
    </row>
    <row r="26" spans="1:4" ht="39" customHeight="1">
      <c r="A26" s="21">
        <v>5</v>
      </c>
      <c r="B26" s="22" t="s">
        <v>83</v>
      </c>
      <c r="C26" s="23" t="s">
        <v>67</v>
      </c>
      <c r="D26" s="27"/>
    </row>
    <row r="27" spans="1:4" ht="14.25" customHeight="1">
      <c r="A27" s="47" t="s">
        <v>76</v>
      </c>
      <c r="B27" s="54"/>
      <c r="C27" s="25">
        <f>COUNTA('MODELO LISTA DE COMPROBACION 3'!$C$22:$C$26)</f>
        <v>2</v>
      </c>
      <c r="D27" s="25">
        <f>COUNTA('MODELO LISTA DE COMPROBACION 3'!$D$22:$D$26)</f>
        <v>3</v>
      </c>
    </row>
    <row r="28" spans="1:4" ht="14.25" customHeight="1">
      <c r="A28" s="47" t="s">
        <v>77</v>
      </c>
      <c r="B28" s="54"/>
      <c r="C28" s="26">
        <f t="shared" ref="C28:D28" si="1">C27/5</f>
        <v>0.4</v>
      </c>
      <c r="D28" s="26">
        <f t="shared" si="1"/>
        <v>0.6</v>
      </c>
    </row>
    <row r="29" spans="1:4" ht="14.25" customHeight="1">
      <c r="A29" s="24"/>
      <c r="B29" s="24"/>
      <c r="C29" s="26"/>
      <c r="D29" s="25"/>
    </row>
    <row r="30" spans="1:4" ht="14.25" customHeight="1">
      <c r="A30" s="52" t="s">
        <v>84</v>
      </c>
      <c r="B30" s="54"/>
      <c r="C30" s="54"/>
      <c r="D30" s="54"/>
    </row>
    <row r="31" spans="1:4" ht="14.25" customHeight="1">
      <c r="A31" s="36" t="s">
        <v>62</v>
      </c>
      <c r="B31" s="37" t="s">
        <v>63</v>
      </c>
      <c r="C31" s="38" t="s">
        <v>64</v>
      </c>
      <c r="D31" s="39" t="s">
        <v>65</v>
      </c>
    </row>
    <row r="32" spans="1:4" ht="31.5" customHeight="1">
      <c r="A32" s="34">
        <v>1</v>
      </c>
      <c r="B32" s="19" t="s">
        <v>85</v>
      </c>
      <c r="C32" s="23" t="s">
        <v>67</v>
      </c>
    </row>
    <row r="33" spans="1:4" ht="40.5" customHeight="1">
      <c r="A33" s="34">
        <v>2</v>
      </c>
      <c r="B33" s="19" t="s">
        <v>86</v>
      </c>
      <c r="D33" s="23" t="s">
        <v>67</v>
      </c>
    </row>
    <row r="34" spans="1:4" ht="48" customHeight="1">
      <c r="A34" s="21">
        <v>3</v>
      </c>
      <c r="B34" s="22" t="s">
        <v>87</v>
      </c>
      <c r="D34" s="23" t="s">
        <v>67</v>
      </c>
    </row>
    <row r="35" spans="1:4" ht="14.25" customHeight="1">
      <c r="A35" s="47" t="s">
        <v>76</v>
      </c>
      <c r="B35" s="54"/>
      <c r="C35" s="8">
        <f>COUNTA('MODELO LISTA DE COMPROBACION 3'!$C$32:$C$34)</f>
        <v>1</v>
      </c>
      <c r="D35" s="8">
        <f>COUNTA('MODELO LISTA DE COMPROBACION 3'!$D$32:$D$34)</f>
        <v>2</v>
      </c>
    </row>
    <row r="36" spans="1:4" ht="14.25" customHeight="1">
      <c r="A36" s="47" t="s">
        <v>77</v>
      </c>
      <c r="B36" s="54"/>
      <c r="C36" s="26">
        <f t="shared" ref="C36:D36" si="2">C35/3</f>
        <v>0.33333333333333331</v>
      </c>
      <c r="D36" s="26">
        <f t="shared" si="2"/>
        <v>0.66666666666666663</v>
      </c>
    </row>
    <row r="37" spans="1:4" ht="14.25" customHeight="1"/>
    <row r="38" spans="1:4" ht="14.25" customHeight="1"/>
    <row r="39" spans="1:4" ht="14.25" customHeight="1"/>
    <row r="40" spans="1:4" ht="14.25" customHeight="1">
      <c r="A40" s="48" t="s">
        <v>88</v>
      </c>
      <c r="B40" s="54"/>
      <c r="C40" s="54"/>
    </row>
    <row r="41" spans="1:4" ht="30" customHeight="1">
      <c r="B41" s="13" t="s">
        <v>89</v>
      </c>
      <c r="C41" s="25">
        <f>ROUND(C18*100,0)</f>
        <v>78</v>
      </c>
    </row>
    <row r="42" spans="1:4" ht="30" customHeight="1">
      <c r="B42" s="13" t="s">
        <v>78</v>
      </c>
      <c r="C42" s="25">
        <f>ROUND(C28*100,0)</f>
        <v>40</v>
      </c>
    </row>
    <row r="43" spans="1:4" ht="30" customHeight="1">
      <c r="B43" s="13" t="s">
        <v>84</v>
      </c>
      <c r="C43" s="25">
        <f>ROUND(C36*100,0)</f>
        <v>33</v>
      </c>
    </row>
    <row r="44" spans="1:4" ht="14.25" customHeight="1">
      <c r="C44" s="25"/>
    </row>
    <row r="45" spans="1:4" ht="14.25" customHeight="1">
      <c r="C45" s="25"/>
    </row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C32 A33:B34 D33:D34">
    <cfRule type="containsText" dxfId="14" priority="13" operator="containsText" text="X">
      <formula>NOT(ISERROR(SEARCH(("X"),(A32))))</formula>
    </cfRule>
  </conditionalFormatting>
  <conditionalFormatting sqref="C22 C8:D8 D9 C32 D33:D34 C26 C10:D16">
    <cfRule type="containsText" dxfId="13" priority="14" operator="containsText" text="X">
      <formula>NOT(ISERROR(SEARCH(("X"),(C8))))</formula>
    </cfRule>
  </conditionalFormatting>
  <conditionalFormatting sqref="C22 C8:D8 D9 C32 D33:D34 C26 C10:D16">
    <cfRule type="containsText" dxfId="12" priority="15" operator="containsText" text="X">
      <formula>NOT(ISERROR(SEARCH(("X"),(C8))))</formula>
    </cfRule>
  </conditionalFormatting>
  <conditionalFormatting sqref="C22 C8:D8 D9 C32 D33:D34 C26 C10:D16">
    <cfRule type="containsText" dxfId="11" priority="16" operator="containsText" text="X">
      <formula>NOT(ISERROR(SEARCH(("X"),(C8))))</formula>
    </cfRule>
  </conditionalFormatting>
  <conditionalFormatting sqref="C22 C8:D8 D9 C32 D33:D34 C26 C10:D16">
    <cfRule type="containsText" dxfId="10" priority="17" operator="containsText" text="X">
      <formula>NOT(ISERROR(SEARCH(("X"),(C8))))</formula>
    </cfRule>
  </conditionalFormatting>
  <conditionalFormatting sqref="C22:D22 C26:D26">
    <cfRule type="containsText" dxfId="9" priority="18" operator="containsText" text="X">
      <formula>NOT(ISERROR(SEARCH(("X"),(C22))))</formula>
    </cfRule>
  </conditionalFormatting>
  <conditionalFormatting sqref="C22:D22 C26:D26">
    <cfRule type="containsText" dxfId="8" priority="19" operator="containsText" text="X">
      <formula>NOT(ISERROR(SEARCH(("X"),(C22))))</formula>
    </cfRule>
  </conditionalFormatting>
  <conditionalFormatting sqref="C23:C25">
    <cfRule type="containsText" dxfId="7" priority="7" operator="containsText" text="X">
      <formula>NOT(ISERROR(SEARCH(("X"),(C23))))</formula>
    </cfRule>
  </conditionalFormatting>
  <conditionalFormatting sqref="C23:C25">
    <cfRule type="containsText" dxfId="6" priority="8" operator="containsText" text="X">
      <formula>NOT(ISERROR(SEARCH(("X"),(C23))))</formula>
    </cfRule>
  </conditionalFormatting>
  <conditionalFormatting sqref="C23:C25">
    <cfRule type="containsText" dxfId="5" priority="9" operator="containsText" text="X">
      <formula>NOT(ISERROR(SEARCH(("X"),(C23))))</formula>
    </cfRule>
  </conditionalFormatting>
  <conditionalFormatting sqref="C23:C25">
    <cfRule type="containsText" dxfId="4" priority="10" operator="containsText" text="X">
      <formula>NOT(ISERROR(SEARCH(("X"),(C23))))</formula>
    </cfRule>
  </conditionalFormatting>
  <conditionalFormatting sqref="C23:D24">
    <cfRule type="containsText" dxfId="3" priority="11" operator="containsText" text="X">
      <formula>NOT(ISERROR(SEARCH(("X"),(C23))))</formula>
    </cfRule>
  </conditionalFormatting>
  <conditionalFormatting sqref="C23:D24">
    <cfRule type="containsText" dxfId="2" priority="12" operator="containsText" text="X">
      <formula>NOT(ISERROR(SEARCH(("X"),(C23))))</formula>
    </cfRule>
  </conditionalFormatting>
  <conditionalFormatting sqref="C25:D25">
    <cfRule type="containsText" dxfId="1" priority="5" operator="containsText" text="X">
      <formula>NOT(ISERROR(SEARCH(("X"),(C25))))</formula>
    </cfRule>
  </conditionalFormatting>
  <conditionalFormatting sqref="C25:D25">
    <cfRule type="containsText" dxfId="0" priority="6" operator="containsText" text="X">
      <formula>NOT(ISERROR(SEARCH(("X"),(C25))))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8"/>
  <sheetViews>
    <sheetView workbookViewId="0">
      <selection activeCell="B7" sqref="B7"/>
    </sheetView>
  </sheetViews>
  <sheetFormatPr defaultColWidth="14.42578125" defaultRowHeight="15" customHeight="1"/>
  <cols>
    <col min="1" max="1" width="127.85546875" customWidth="1"/>
    <col min="2" max="2" width="66.140625" customWidth="1"/>
    <col min="3" max="26" width="10.7109375" customWidth="1"/>
  </cols>
  <sheetData>
    <row r="1" spans="1:2" ht="14.25" customHeight="1">
      <c r="A1" s="28" t="s">
        <v>94</v>
      </c>
      <c r="B1" s="28" t="s">
        <v>95</v>
      </c>
    </row>
    <row r="2" spans="1:2" ht="63" customHeight="1">
      <c r="A2" s="19" t="s">
        <v>96</v>
      </c>
      <c r="B2" s="19" t="s">
        <v>97</v>
      </c>
    </row>
    <row r="3" spans="1:2" ht="60" customHeight="1">
      <c r="A3" s="4" t="s">
        <v>98</v>
      </c>
      <c r="B3" s="19" t="s">
        <v>99</v>
      </c>
    </row>
    <row r="4" spans="1:2" ht="14.25" customHeight="1"/>
    <row r="5" spans="1:2" ht="14.25" customHeight="1"/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98"/>
  <sheetViews>
    <sheetView workbookViewId="0">
      <selection activeCell="B6" sqref="B6"/>
    </sheetView>
  </sheetViews>
  <sheetFormatPr defaultColWidth="14.42578125" defaultRowHeight="15" customHeight="1"/>
  <cols>
    <col min="1" max="1" width="53.5703125" customWidth="1"/>
    <col min="2" max="2" width="57.28515625" customWidth="1"/>
    <col min="3" max="26" width="10.7109375" customWidth="1"/>
  </cols>
  <sheetData>
    <row r="1" spans="1:2">
      <c r="A1" s="28" t="s">
        <v>94</v>
      </c>
      <c r="B1" s="28" t="s">
        <v>95</v>
      </c>
    </row>
    <row r="2" spans="1:2" ht="30.75">
      <c r="A2" s="29" t="s">
        <v>100</v>
      </c>
      <c r="B2" s="30" t="s">
        <v>101</v>
      </c>
    </row>
    <row r="3" spans="1:2">
      <c r="A3" s="29" t="s">
        <v>102</v>
      </c>
      <c r="B3" s="19" t="s">
        <v>103</v>
      </c>
    </row>
    <row r="4" spans="1:2">
      <c r="A4" s="19" t="s">
        <v>104</v>
      </c>
      <c r="B4" s="19" t="s">
        <v>105</v>
      </c>
    </row>
    <row r="5" spans="1:2" ht="30.75">
      <c r="A5" s="31" t="s">
        <v>106</v>
      </c>
      <c r="B5" s="32" t="s">
        <v>107</v>
      </c>
    </row>
    <row r="6" spans="1:2"/>
    <row r="7" spans="1:2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98"/>
  <sheetViews>
    <sheetView workbookViewId="0">
      <selection activeCell="B6" sqref="B6"/>
    </sheetView>
  </sheetViews>
  <sheetFormatPr defaultColWidth="14.42578125" defaultRowHeight="15" customHeight="1"/>
  <cols>
    <col min="1" max="1" width="54.140625" customWidth="1"/>
    <col min="2" max="2" width="57.28515625" customWidth="1"/>
    <col min="3" max="26" width="10.7109375" customWidth="1"/>
  </cols>
  <sheetData>
    <row r="1" spans="1:2" ht="14.25" customHeight="1">
      <c r="A1" s="28" t="s">
        <v>94</v>
      </c>
      <c r="B1" s="28" t="s">
        <v>95</v>
      </c>
    </row>
    <row r="2" spans="1:2">
      <c r="A2" s="29" t="s">
        <v>108</v>
      </c>
      <c r="B2" s="30" t="s">
        <v>109</v>
      </c>
    </row>
    <row r="3" spans="1:2">
      <c r="A3" s="29" t="s">
        <v>110</v>
      </c>
      <c r="B3" s="19" t="s">
        <v>111</v>
      </c>
    </row>
    <row r="4" spans="1:2" ht="30.75">
      <c r="A4" s="33" t="s">
        <v>112</v>
      </c>
      <c r="B4" s="32" t="s">
        <v>113</v>
      </c>
    </row>
    <row r="5" spans="1:2">
      <c r="A5" s="31" t="s">
        <v>114</v>
      </c>
      <c r="B5" s="32" t="s">
        <v>115</v>
      </c>
    </row>
    <row r="6" spans="1:2" ht="14.25" customHeight="1"/>
    <row r="7" spans="1:2" ht="14.25" customHeight="1"/>
    <row r="8" spans="1:2" ht="14.25" customHeight="1"/>
    <row r="9" spans="1:2" ht="14.25" customHeight="1"/>
    <row r="10" spans="1:2" ht="14.25" customHeight="1"/>
    <row r="11" spans="1:2" ht="14.25" customHeight="1"/>
    <row r="12" spans="1:2" ht="14.25" customHeight="1"/>
    <row r="13" spans="1:2" ht="14.25" customHeight="1"/>
    <row r="14" spans="1:2" ht="14.25" customHeight="1"/>
    <row r="15" spans="1:2" ht="14.25" customHeight="1"/>
    <row r="16" spans="1: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2026-10-01T13:24:02Z</dcterms:created>
  <dcterms:modified xsi:type="dcterms:W3CDTF">2026-10-06T09:33:11Z</dcterms:modified>
  <cp:category/>
  <cp:contentStatus/>
</cp:coreProperties>
</file>